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7AEDDC3E-140B-4581-97F6-F5A62E0A41A1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ASE_BCP" sheetId="1" r:id="rId1"/>
    <sheet name="ADITIVO" sheetId="2" r:id="rId2"/>
    <sheet name="MULTIPLICATIVO" sheetId="3" r:id="rId3"/>
  </sheets>
  <calcPr calcId="191028"/>
</workbook>
</file>

<file path=xl/calcChain.xml><?xml version="1.0" encoding="utf-8"?>
<calcChain xmlns="http://schemas.openxmlformats.org/spreadsheetml/2006/main">
  <c r="I157" i="3" l="1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22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H111" i="3"/>
  <c r="H112" i="3"/>
  <c r="H113" i="3"/>
  <c r="H114" i="3"/>
  <c r="H115" i="3"/>
  <c r="H116" i="3"/>
  <c r="H117" i="3"/>
  <c r="H118" i="3"/>
  <c r="H119" i="3"/>
  <c r="H120" i="3"/>
  <c r="H121" i="3"/>
  <c r="H100" i="3"/>
  <c r="H101" i="3"/>
  <c r="H102" i="3"/>
  <c r="H103" i="3"/>
  <c r="H104" i="3"/>
  <c r="H105" i="3"/>
  <c r="H106" i="3"/>
  <c r="H107" i="3"/>
  <c r="H108" i="3"/>
  <c r="H109" i="3"/>
  <c r="H110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79" i="3"/>
  <c r="H80" i="3"/>
  <c r="H81" i="3"/>
  <c r="H82" i="3"/>
  <c r="H83" i="3"/>
  <c r="H84" i="3"/>
  <c r="H85" i="3"/>
  <c r="H86" i="3"/>
  <c r="H71" i="3"/>
  <c r="H72" i="3"/>
  <c r="H73" i="3"/>
  <c r="H74" i="3"/>
  <c r="H75" i="3"/>
  <c r="H76" i="3"/>
  <c r="H77" i="3"/>
  <c r="H78" i="3"/>
  <c r="H62" i="3"/>
  <c r="H63" i="3"/>
  <c r="H64" i="3"/>
  <c r="H65" i="3"/>
  <c r="H66" i="3"/>
  <c r="H67" i="3"/>
  <c r="H68" i="3"/>
  <c r="H69" i="3"/>
  <c r="H70" i="3"/>
  <c r="H55" i="3"/>
  <c r="H56" i="3"/>
  <c r="H57" i="3"/>
  <c r="H58" i="3"/>
  <c r="H59" i="3"/>
  <c r="H60" i="3"/>
  <c r="H61" i="3"/>
  <c r="H46" i="3"/>
  <c r="H47" i="3"/>
  <c r="H48" i="3"/>
  <c r="H49" i="3"/>
  <c r="H50" i="3"/>
  <c r="H51" i="3"/>
  <c r="H52" i="3"/>
  <c r="H53" i="3"/>
  <c r="H54" i="3"/>
  <c r="H37" i="3"/>
  <c r="H38" i="3"/>
  <c r="H39" i="3"/>
  <c r="H40" i="3"/>
  <c r="H41" i="3"/>
  <c r="H42" i="3"/>
  <c r="H43" i="3"/>
  <c r="H44" i="3"/>
  <c r="H45" i="3"/>
  <c r="H28" i="3"/>
  <c r="H29" i="3"/>
  <c r="H30" i="3"/>
  <c r="H31" i="3"/>
  <c r="H32" i="3"/>
  <c r="H33" i="3"/>
  <c r="H34" i="3"/>
  <c r="H35" i="3"/>
  <c r="H36" i="3"/>
  <c r="H18" i="3"/>
  <c r="H19" i="3"/>
  <c r="H20" i="3"/>
  <c r="H21" i="3"/>
  <c r="H22" i="3"/>
  <c r="H23" i="3"/>
  <c r="H24" i="3"/>
  <c r="H25" i="3"/>
  <c r="H26" i="3"/>
  <c r="H27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2" i="3"/>
  <c r="P4" i="3"/>
  <c r="P5" i="3"/>
  <c r="N3" i="2"/>
  <c r="E80" i="3"/>
  <c r="E81" i="3"/>
  <c r="E72" i="3"/>
  <c r="E73" i="3"/>
  <c r="E74" i="3"/>
  <c r="E75" i="3"/>
  <c r="E76" i="3"/>
  <c r="E77" i="3"/>
  <c r="E78" i="3"/>
  <c r="E79" i="3"/>
  <c r="E65" i="3"/>
  <c r="E66" i="3"/>
  <c r="E67" i="3"/>
  <c r="E68" i="3"/>
  <c r="E69" i="3"/>
  <c r="E70" i="3"/>
  <c r="E71" i="3"/>
  <c r="E51" i="3"/>
  <c r="E52" i="3"/>
  <c r="E53" i="3"/>
  <c r="E54" i="3"/>
  <c r="E55" i="3"/>
  <c r="E56" i="3"/>
  <c r="E57" i="3"/>
  <c r="E58" i="3"/>
  <c r="E59" i="3"/>
  <c r="E60" i="3"/>
  <c r="E61" i="3"/>
  <c r="E62" i="3"/>
  <c r="E41" i="3"/>
  <c r="E42" i="3"/>
  <c r="E43" i="3"/>
  <c r="E44" i="3"/>
  <c r="D107" i="3"/>
  <c r="E108" i="3" s="1"/>
  <c r="D108" i="3"/>
  <c r="E109" i="3" s="1"/>
  <c r="D109" i="3"/>
  <c r="E110" i="3" s="1"/>
  <c r="D110" i="3"/>
  <c r="E111" i="3" s="1"/>
  <c r="D111" i="3"/>
  <c r="E112" i="3" s="1"/>
  <c r="D112" i="3"/>
  <c r="E113" i="3" s="1"/>
  <c r="D113" i="3"/>
  <c r="E114" i="3" s="1"/>
  <c r="D114" i="3"/>
  <c r="D95" i="3"/>
  <c r="D96" i="3"/>
  <c r="E97" i="3" s="1"/>
  <c r="D97" i="3"/>
  <c r="E98" i="3" s="1"/>
  <c r="D98" i="3"/>
  <c r="E99" i="3" s="1"/>
  <c r="D99" i="3"/>
  <c r="E100" i="3" s="1"/>
  <c r="D100" i="3"/>
  <c r="E101" i="3" s="1"/>
  <c r="D101" i="3"/>
  <c r="E102" i="3" s="1"/>
  <c r="D102" i="3"/>
  <c r="E103" i="3" s="1"/>
  <c r="D103" i="3"/>
  <c r="E104" i="3" s="1"/>
  <c r="D104" i="3"/>
  <c r="E105" i="3" s="1"/>
  <c r="D105" i="3"/>
  <c r="E106" i="3" s="1"/>
  <c r="D106" i="3"/>
  <c r="E107" i="3" s="1"/>
  <c r="D82" i="3"/>
  <c r="D83" i="3"/>
  <c r="E84" i="3" s="1"/>
  <c r="D84" i="3"/>
  <c r="E85" i="3" s="1"/>
  <c r="D85" i="3"/>
  <c r="E86" i="3" s="1"/>
  <c r="D86" i="3"/>
  <c r="E87" i="3" s="1"/>
  <c r="D87" i="3"/>
  <c r="E88" i="3" s="1"/>
  <c r="D88" i="3"/>
  <c r="E89" i="3" s="1"/>
  <c r="D89" i="3"/>
  <c r="E90" i="3" s="1"/>
  <c r="D90" i="3"/>
  <c r="E91" i="3" s="1"/>
  <c r="D91" i="3"/>
  <c r="E92" i="3" s="1"/>
  <c r="D92" i="3"/>
  <c r="E93" i="3" s="1"/>
  <c r="D93" i="3"/>
  <c r="E94" i="3" s="1"/>
  <c r="D94" i="3"/>
  <c r="D71" i="3"/>
  <c r="D72" i="3"/>
  <c r="D73" i="3"/>
  <c r="D74" i="3"/>
  <c r="D75" i="3"/>
  <c r="D76" i="3"/>
  <c r="D77" i="3"/>
  <c r="D78" i="3"/>
  <c r="D79" i="3"/>
  <c r="D80" i="3"/>
  <c r="D81" i="3"/>
  <c r="D59" i="3"/>
  <c r="D60" i="3"/>
  <c r="D61" i="3"/>
  <c r="D62" i="3"/>
  <c r="E63" i="3" s="1"/>
  <c r="D63" i="3"/>
  <c r="D64" i="3"/>
  <c r="E64" i="3" s="1"/>
  <c r="D65" i="3"/>
  <c r="D66" i="3"/>
  <c r="D67" i="3"/>
  <c r="D68" i="3"/>
  <c r="D69" i="3"/>
  <c r="D70" i="3"/>
  <c r="D50" i="3"/>
  <c r="D51" i="3"/>
  <c r="D52" i="3"/>
  <c r="D53" i="3"/>
  <c r="D54" i="3"/>
  <c r="D55" i="3"/>
  <c r="D56" i="3"/>
  <c r="D57" i="3"/>
  <c r="D58" i="3"/>
  <c r="D40" i="3"/>
  <c r="D41" i="3"/>
  <c r="D42" i="3"/>
  <c r="D43" i="3"/>
  <c r="D44" i="3"/>
  <c r="D45" i="3"/>
  <c r="E45" i="3" s="1"/>
  <c r="D46" i="3"/>
  <c r="D47" i="3"/>
  <c r="E48" i="3" s="1"/>
  <c r="D48" i="3"/>
  <c r="D49" i="3"/>
  <c r="D31" i="3"/>
  <c r="E32" i="3" s="1"/>
  <c r="D32" i="3"/>
  <c r="E33" i="3" s="1"/>
  <c r="D33" i="3"/>
  <c r="E34" i="3" s="1"/>
  <c r="D34" i="3"/>
  <c r="E35" i="3" s="1"/>
  <c r="D35" i="3"/>
  <c r="E36" i="3" s="1"/>
  <c r="D36" i="3"/>
  <c r="E37" i="3" s="1"/>
  <c r="D37" i="3"/>
  <c r="E38" i="3" s="1"/>
  <c r="D38" i="3"/>
  <c r="E39" i="3" s="1"/>
  <c r="D39" i="3"/>
  <c r="E40" i="3" s="1"/>
  <c r="D22" i="3"/>
  <c r="E23" i="3" s="1"/>
  <c r="D23" i="3"/>
  <c r="E24" i="3" s="1"/>
  <c r="D24" i="3"/>
  <c r="E25" i="3" s="1"/>
  <c r="D25" i="3"/>
  <c r="E26" i="3" s="1"/>
  <c r="D26" i="3"/>
  <c r="E27" i="3" s="1"/>
  <c r="D27" i="3"/>
  <c r="E28" i="3" s="1"/>
  <c r="D28" i="3"/>
  <c r="E29" i="3" s="1"/>
  <c r="D29" i="3"/>
  <c r="E30" i="3" s="1"/>
  <c r="D30" i="3"/>
  <c r="E31" i="3" s="1"/>
  <c r="D8" i="3"/>
  <c r="E9" i="3" s="1"/>
  <c r="D9" i="3"/>
  <c r="E10" i="3" s="1"/>
  <c r="D10" i="3"/>
  <c r="E11" i="3" s="1"/>
  <c r="D11" i="3"/>
  <c r="E12" i="3" s="1"/>
  <c r="D12" i="3"/>
  <c r="E13" i="3" s="1"/>
  <c r="D13" i="3"/>
  <c r="E14" i="3" s="1"/>
  <c r="D14" i="3"/>
  <c r="E15" i="3" s="1"/>
  <c r="D15" i="3"/>
  <c r="E16" i="3" s="1"/>
  <c r="D16" i="3"/>
  <c r="E17" i="3" s="1"/>
  <c r="D17" i="3"/>
  <c r="E18" i="3" s="1"/>
  <c r="D18" i="3"/>
  <c r="E19" i="3" s="1"/>
  <c r="D19" i="3"/>
  <c r="E20" i="3" s="1"/>
  <c r="D20" i="3"/>
  <c r="E21" i="3" s="1"/>
  <c r="D21" i="3"/>
  <c r="E22" i="3" s="1"/>
  <c r="D7" i="3"/>
  <c r="E8" i="3" s="1"/>
  <c r="D151" i="2"/>
  <c r="K151" i="2"/>
  <c r="D152" i="2"/>
  <c r="K152" i="2"/>
  <c r="D153" i="2"/>
  <c r="K153" i="2"/>
  <c r="D154" i="2"/>
  <c r="K154" i="2"/>
  <c r="D155" i="2"/>
  <c r="K155" i="2"/>
  <c r="D156" i="2"/>
  <c r="K156" i="2"/>
  <c r="D157" i="2"/>
  <c r="K157" i="2"/>
  <c r="D138" i="2"/>
  <c r="K138" i="2"/>
  <c r="D139" i="2"/>
  <c r="K139" i="2"/>
  <c r="D140" i="2"/>
  <c r="K140" i="2"/>
  <c r="D141" i="2"/>
  <c r="K141" i="2"/>
  <c r="D142" i="2"/>
  <c r="K142" i="2"/>
  <c r="D143" i="2"/>
  <c r="K143" i="2"/>
  <c r="D144" i="2"/>
  <c r="K144" i="2"/>
  <c r="D145" i="2"/>
  <c r="K145" i="2"/>
  <c r="D146" i="2"/>
  <c r="K146" i="2"/>
  <c r="D147" i="2"/>
  <c r="K147" i="2"/>
  <c r="D148" i="2"/>
  <c r="K148" i="2"/>
  <c r="D149" i="2"/>
  <c r="K149" i="2"/>
  <c r="D150" i="2"/>
  <c r="K150" i="2"/>
  <c r="N2" i="2"/>
  <c r="D134" i="2"/>
  <c r="K134" i="2"/>
  <c r="D135" i="2"/>
  <c r="K135" i="2"/>
  <c r="D136" i="2"/>
  <c r="K136" i="2"/>
  <c r="D137" i="2"/>
  <c r="K137" i="2"/>
  <c r="D123" i="2"/>
  <c r="K123" i="2"/>
  <c r="D124" i="2"/>
  <c r="K124" i="2"/>
  <c r="D125" i="2"/>
  <c r="K125" i="2"/>
  <c r="D126" i="2"/>
  <c r="K126" i="2"/>
  <c r="D127" i="2"/>
  <c r="K127" i="2"/>
  <c r="D128" i="2"/>
  <c r="K128" i="2"/>
  <c r="D129" i="2"/>
  <c r="K129" i="2"/>
  <c r="D130" i="2"/>
  <c r="K130" i="2"/>
  <c r="D131" i="2"/>
  <c r="K131" i="2"/>
  <c r="D132" i="2"/>
  <c r="K132" i="2"/>
  <c r="D133" i="2"/>
  <c r="K133" i="2"/>
  <c r="D122" i="2"/>
  <c r="K122" i="2"/>
  <c r="D60" i="2"/>
  <c r="D61" i="2"/>
  <c r="D62" i="2"/>
  <c r="D63" i="2"/>
  <c r="D71" i="2"/>
  <c r="D70" i="2"/>
  <c r="D69" i="2"/>
  <c r="D68" i="2"/>
  <c r="D67" i="2"/>
  <c r="D66" i="2"/>
  <c r="D65" i="2"/>
  <c r="D64" i="2"/>
  <c r="E61" i="2"/>
  <c r="D72" i="2"/>
  <c r="E62" i="2"/>
  <c r="F62" i="2"/>
  <c r="G62" i="2"/>
  <c r="S7" i="2"/>
  <c r="D73" i="2"/>
  <c r="E63" i="2"/>
  <c r="F63" i="2"/>
  <c r="G63" i="2"/>
  <c r="S8" i="2"/>
  <c r="D74" i="2"/>
  <c r="E64" i="2"/>
  <c r="F64" i="2"/>
  <c r="G64" i="2"/>
  <c r="S9" i="2"/>
  <c r="D75" i="2"/>
  <c r="E65" i="2"/>
  <c r="F65" i="2"/>
  <c r="G65" i="2"/>
  <c r="S10" i="2"/>
  <c r="D76" i="2"/>
  <c r="E66" i="2"/>
  <c r="F66" i="2"/>
  <c r="G66" i="2"/>
  <c r="S11" i="2"/>
  <c r="D77" i="2"/>
  <c r="E67" i="2"/>
  <c r="F67" i="2"/>
  <c r="G67" i="2"/>
  <c r="S12" i="2"/>
  <c r="D78" i="2"/>
  <c r="E68" i="2"/>
  <c r="F68" i="2"/>
  <c r="G68" i="2"/>
  <c r="S13" i="2"/>
  <c r="D121" i="2"/>
  <c r="J121" i="2"/>
  <c r="K121" i="2"/>
  <c r="D104" i="2"/>
  <c r="J104" i="2"/>
  <c r="K104" i="2"/>
  <c r="D105" i="2"/>
  <c r="J105" i="2"/>
  <c r="K105" i="2"/>
  <c r="D106" i="2"/>
  <c r="J106" i="2"/>
  <c r="K106" i="2"/>
  <c r="D107" i="2"/>
  <c r="J107" i="2"/>
  <c r="K107" i="2"/>
  <c r="D108" i="2"/>
  <c r="J108" i="2"/>
  <c r="K108" i="2"/>
  <c r="D109" i="2"/>
  <c r="J109" i="2"/>
  <c r="K109" i="2"/>
  <c r="D110" i="2"/>
  <c r="J110" i="2"/>
  <c r="K110" i="2"/>
  <c r="D111" i="2"/>
  <c r="J111" i="2"/>
  <c r="K111" i="2"/>
  <c r="D112" i="2"/>
  <c r="J112" i="2"/>
  <c r="K112" i="2"/>
  <c r="D113" i="2"/>
  <c r="J113" i="2"/>
  <c r="K113" i="2"/>
  <c r="D114" i="2"/>
  <c r="J114" i="2"/>
  <c r="K114" i="2"/>
  <c r="D115" i="2"/>
  <c r="J115" i="2"/>
  <c r="K115" i="2"/>
  <c r="D116" i="2"/>
  <c r="J116" i="2"/>
  <c r="K116" i="2"/>
  <c r="D117" i="2"/>
  <c r="J117" i="2"/>
  <c r="K117" i="2"/>
  <c r="D118" i="2"/>
  <c r="J118" i="2"/>
  <c r="K118" i="2"/>
  <c r="D119" i="2"/>
  <c r="J119" i="2"/>
  <c r="K119" i="2"/>
  <c r="D120" i="2"/>
  <c r="J120" i="2"/>
  <c r="K120" i="2"/>
  <c r="D88" i="2"/>
  <c r="J88" i="2"/>
  <c r="K88" i="2"/>
  <c r="D89" i="2"/>
  <c r="J89" i="2"/>
  <c r="K89" i="2"/>
  <c r="D90" i="2"/>
  <c r="J90" i="2"/>
  <c r="K90" i="2"/>
  <c r="D91" i="2"/>
  <c r="J91" i="2"/>
  <c r="K91" i="2"/>
  <c r="D92" i="2"/>
  <c r="J92" i="2"/>
  <c r="K92" i="2"/>
  <c r="D93" i="2"/>
  <c r="J93" i="2"/>
  <c r="K93" i="2"/>
  <c r="D94" i="2"/>
  <c r="J94" i="2"/>
  <c r="K94" i="2"/>
  <c r="D95" i="2"/>
  <c r="J95" i="2"/>
  <c r="K95" i="2"/>
  <c r="D96" i="2"/>
  <c r="J96" i="2"/>
  <c r="K96" i="2"/>
  <c r="D97" i="2"/>
  <c r="J97" i="2"/>
  <c r="K97" i="2"/>
  <c r="D98" i="2"/>
  <c r="J98" i="2"/>
  <c r="K98" i="2"/>
  <c r="D99" i="2"/>
  <c r="J99" i="2"/>
  <c r="K99" i="2"/>
  <c r="D100" i="2"/>
  <c r="J100" i="2"/>
  <c r="K100" i="2"/>
  <c r="D101" i="2"/>
  <c r="J101" i="2"/>
  <c r="K101" i="2"/>
  <c r="D102" i="2"/>
  <c r="J102" i="2"/>
  <c r="K102" i="2"/>
  <c r="D103" i="2"/>
  <c r="J103" i="2"/>
  <c r="K103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D79" i="2"/>
  <c r="J79" i="2"/>
  <c r="K79" i="2"/>
  <c r="D80" i="2"/>
  <c r="J80" i="2"/>
  <c r="K80" i="2"/>
  <c r="D81" i="2"/>
  <c r="J81" i="2"/>
  <c r="K81" i="2"/>
  <c r="D82" i="2"/>
  <c r="J82" i="2"/>
  <c r="K82" i="2"/>
  <c r="D83" i="2"/>
  <c r="J83" i="2"/>
  <c r="K83" i="2"/>
  <c r="D84" i="2"/>
  <c r="J84" i="2"/>
  <c r="K84" i="2"/>
  <c r="D85" i="2"/>
  <c r="J85" i="2"/>
  <c r="K85" i="2"/>
  <c r="D86" i="2"/>
  <c r="J86" i="2"/>
  <c r="K86" i="2"/>
  <c r="D87" i="2"/>
  <c r="J87" i="2"/>
  <c r="K87" i="2"/>
  <c r="D54" i="2"/>
  <c r="J54" i="2"/>
  <c r="K54" i="2"/>
  <c r="D55" i="2"/>
  <c r="J55" i="2"/>
  <c r="K55" i="2"/>
  <c r="D56" i="2"/>
  <c r="J56" i="2"/>
  <c r="K56" i="2"/>
  <c r="D57" i="2"/>
  <c r="J57" i="2"/>
  <c r="K57" i="2"/>
  <c r="D58" i="2"/>
  <c r="J58" i="2"/>
  <c r="K58" i="2"/>
  <c r="D59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D32" i="2"/>
  <c r="J32" i="2"/>
  <c r="K32" i="2"/>
  <c r="D33" i="2"/>
  <c r="J33" i="2"/>
  <c r="K33" i="2"/>
  <c r="D34" i="2"/>
  <c r="J34" i="2"/>
  <c r="K34" i="2"/>
  <c r="D35" i="2"/>
  <c r="J35" i="2"/>
  <c r="K35" i="2"/>
  <c r="D36" i="2"/>
  <c r="J36" i="2"/>
  <c r="K36" i="2"/>
  <c r="D37" i="2"/>
  <c r="J37" i="2"/>
  <c r="K37" i="2"/>
  <c r="D38" i="2"/>
  <c r="J38" i="2"/>
  <c r="K38" i="2"/>
  <c r="D39" i="2"/>
  <c r="J39" i="2"/>
  <c r="K39" i="2"/>
  <c r="D40" i="2"/>
  <c r="J40" i="2"/>
  <c r="K40" i="2"/>
  <c r="D41" i="2"/>
  <c r="J41" i="2"/>
  <c r="K41" i="2"/>
  <c r="D42" i="2"/>
  <c r="J42" i="2"/>
  <c r="K42" i="2"/>
  <c r="D43" i="2"/>
  <c r="J43" i="2"/>
  <c r="K43" i="2"/>
  <c r="D44" i="2"/>
  <c r="J44" i="2"/>
  <c r="K44" i="2"/>
  <c r="D45" i="2"/>
  <c r="J45" i="2"/>
  <c r="K45" i="2"/>
  <c r="D46" i="2"/>
  <c r="J46" i="2"/>
  <c r="K46" i="2"/>
  <c r="D47" i="2"/>
  <c r="J47" i="2"/>
  <c r="K47" i="2"/>
  <c r="D48" i="2"/>
  <c r="J48" i="2"/>
  <c r="K48" i="2"/>
  <c r="D49" i="2"/>
  <c r="J49" i="2"/>
  <c r="K49" i="2"/>
  <c r="D50" i="2"/>
  <c r="J50" i="2"/>
  <c r="K50" i="2"/>
  <c r="D51" i="2"/>
  <c r="J51" i="2"/>
  <c r="K51" i="2"/>
  <c r="D52" i="2"/>
  <c r="J52" i="2"/>
  <c r="K52" i="2"/>
  <c r="D53" i="2"/>
  <c r="J53" i="2"/>
  <c r="K53" i="2"/>
  <c r="D20" i="2"/>
  <c r="J20" i="2"/>
  <c r="K20" i="2"/>
  <c r="D21" i="2"/>
  <c r="J21" i="2"/>
  <c r="K21" i="2"/>
  <c r="D22" i="2"/>
  <c r="J22" i="2"/>
  <c r="K22" i="2"/>
  <c r="D23" i="2"/>
  <c r="J23" i="2"/>
  <c r="K23" i="2"/>
  <c r="D24" i="2"/>
  <c r="J24" i="2"/>
  <c r="K24" i="2"/>
  <c r="D25" i="2"/>
  <c r="J25" i="2"/>
  <c r="K25" i="2"/>
  <c r="D26" i="2"/>
  <c r="J26" i="2"/>
  <c r="K26" i="2"/>
  <c r="D27" i="2"/>
  <c r="J27" i="2"/>
  <c r="K27" i="2"/>
  <c r="D28" i="2"/>
  <c r="J28" i="2"/>
  <c r="K28" i="2"/>
  <c r="D29" i="2"/>
  <c r="J29" i="2"/>
  <c r="K29" i="2"/>
  <c r="D30" i="2"/>
  <c r="J30" i="2"/>
  <c r="K30" i="2"/>
  <c r="D31" i="2"/>
  <c r="J31" i="2"/>
  <c r="K31" i="2"/>
  <c r="D3" i="2"/>
  <c r="J3" i="2"/>
  <c r="K3" i="2"/>
  <c r="D4" i="2"/>
  <c r="J4" i="2"/>
  <c r="K4" i="2"/>
  <c r="D5" i="2"/>
  <c r="J5" i="2"/>
  <c r="K5" i="2"/>
  <c r="D6" i="2"/>
  <c r="J6" i="2"/>
  <c r="K6" i="2"/>
  <c r="D7" i="2"/>
  <c r="J7" i="2"/>
  <c r="K7" i="2"/>
  <c r="D8" i="2"/>
  <c r="J8" i="2"/>
  <c r="K8" i="2"/>
  <c r="D9" i="2"/>
  <c r="J9" i="2"/>
  <c r="K9" i="2"/>
  <c r="D10" i="2"/>
  <c r="J10" i="2"/>
  <c r="K10" i="2"/>
  <c r="D11" i="2"/>
  <c r="J11" i="2"/>
  <c r="K11" i="2"/>
  <c r="D12" i="2"/>
  <c r="J12" i="2"/>
  <c r="K12" i="2"/>
  <c r="D13" i="2"/>
  <c r="J13" i="2"/>
  <c r="K13" i="2"/>
  <c r="D14" i="2"/>
  <c r="J14" i="2"/>
  <c r="K14" i="2"/>
  <c r="D15" i="2"/>
  <c r="J15" i="2"/>
  <c r="K15" i="2"/>
  <c r="D16" i="2"/>
  <c r="J16" i="2"/>
  <c r="K16" i="2"/>
  <c r="D17" i="2"/>
  <c r="J17" i="2"/>
  <c r="K17" i="2"/>
  <c r="D18" i="2"/>
  <c r="J18" i="2"/>
  <c r="K18" i="2"/>
  <c r="D19" i="2"/>
  <c r="J19" i="2"/>
  <c r="K19" i="2"/>
  <c r="D2" i="2"/>
  <c r="J2" i="2"/>
  <c r="K2" i="2"/>
  <c r="E14" i="2"/>
  <c r="E15" i="2"/>
  <c r="F15" i="2"/>
  <c r="G15" i="2"/>
  <c r="O8" i="2"/>
  <c r="E26" i="2"/>
  <c r="E27" i="2"/>
  <c r="F27" i="2"/>
  <c r="G27" i="2"/>
  <c r="P8" i="2"/>
  <c r="E38" i="2"/>
  <c r="E39" i="2"/>
  <c r="F39" i="2"/>
  <c r="G39" i="2"/>
  <c r="Q8" i="2"/>
  <c r="E50" i="2"/>
  <c r="E51" i="2"/>
  <c r="F51" i="2"/>
  <c r="G51" i="2"/>
  <c r="R8" i="2"/>
  <c r="E110" i="2"/>
  <c r="E111" i="2"/>
  <c r="F111" i="2"/>
  <c r="G111" i="2"/>
  <c r="W8" i="2"/>
  <c r="E98" i="2"/>
  <c r="E99" i="2"/>
  <c r="F99" i="2"/>
  <c r="G99" i="2"/>
  <c r="V8" i="2"/>
  <c r="E86" i="2"/>
  <c r="E87" i="2"/>
  <c r="F87" i="2"/>
  <c r="G87" i="2"/>
  <c r="U8" i="2"/>
  <c r="E74" i="2"/>
  <c r="E75" i="2"/>
  <c r="F75" i="2"/>
  <c r="G75" i="2"/>
  <c r="T8" i="2"/>
  <c r="X8" i="2"/>
  <c r="E3" i="2"/>
  <c r="E4" i="2"/>
  <c r="F4" i="2"/>
  <c r="G4" i="2"/>
  <c r="N9" i="2"/>
  <c r="E16" i="2"/>
  <c r="F16" i="2"/>
  <c r="G16" i="2"/>
  <c r="O9" i="2"/>
  <c r="E28" i="2"/>
  <c r="F28" i="2"/>
  <c r="G28" i="2"/>
  <c r="P9" i="2"/>
  <c r="E40" i="2"/>
  <c r="F40" i="2"/>
  <c r="G40" i="2"/>
  <c r="Q9" i="2"/>
  <c r="E100" i="2"/>
  <c r="F100" i="2"/>
  <c r="G100" i="2"/>
  <c r="V9" i="2"/>
  <c r="E88" i="2"/>
  <c r="F88" i="2"/>
  <c r="G88" i="2"/>
  <c r="U9" i="2"/>
  <c r="E76" i="2"/>
  <c r="F76" i="2"/>
  <c r="G76" i="2"/>
  <c r="T9" i="2"/>
  <c r="E52" i="2"/>
  <c r="F52" i="2"/>
  <c r="G52" i="2"/>
  <c r="R9" i="2"/>
  <c r="X9" i="2"/>
  <c r="E5" i="2"/>
  <c r="F5" i="2"/>
  <c r="G5" i="2"/>
  <c r="N10" i="2"/>
  <c r="E17" i="2"/>
  <c r="F17" i="2"/>
  <c r="G17" i="2"/>
  <c r="O10" i="2"/>
  <c r="E29" i="2"/>
  <c r="F29" i="2"/>
  <c r="G29" i="2"/>
  <c r="P10" i="2"/>
  <c r="E41" i="2"/>
  <c r="F41" i="2"/>
  <c r="G41" i="2"/>
  <c r="Q10" i="2"/>
  <c r="E101" i="2"/>
  <c r="F101" i="2"/>
  <c r="G101" i="2"/>
  <c r="V10" i="2"/>
  <c r="E89" i="2"/>
  <c r="F89" i="2"/>
  <c r="G89" i="2"/>
  <c r="U10" i="2"/>
  <c r="E77" i="2"/>
  <c r="F77" i="2"/>
  <c r="G77" i="2"/>
  <c r="T10" i="2"/>
  <c r="E53" i="2"/>
  <c r="F53" i="2"/>
  <c r="G53" i="2"/>
  <c r="R10" i="2"/>
  <c r="X10" i="2"/>
  <c r="E6" i="2"/>
  <c r="F6" i="2"/>
  <c r="G6" i="2"/>
  <c r="N11" i="2"/>
  <c r="E18" i="2"/>
  <c r="F18" i="2"/>
  <c r="G18" i="2"/>
  <c r="O11" i="2"/>
  <c r="E30" i="2"/>
  <c r="F30" i="2"/>
  <c r="G30" i="2"/>
  <c r="P11" i="2"/>
  <c r="E42" i="2"/>
  <c r="F42" i="2"/>
  <c r="G42" i="2"/>
  <c r="Q11" i="2"/>
  <c r="E102" i="2"/>
  <c r="F102" i="2"/>
  <c r="G102" i="2"/>
  <c r="V11" i="2"/>
  <c r="E90" i="2"/>
  <c r="F90" i="2"/>
  <c r="G90" i="2"/>
  <c r="U11" i="2"/>
  <c r="E78" i="2"/>
  <c r="F78" i="2"/>
  <c r="G78" i="2"/>
  <c r="T11" i="2"/>
  <c r="E54" i="2"/>
  <c r="F54" i="2"/>
  <c r="G54" i="2"/>
  <c r="R11" i="2"/>
  <c r="X11" i="2"/>
  <c r="E7" i="2"/>
  <c r="F7" i="2"/>
  <c r="G7" i="2"/>
  <c r="N12" i="2"/>
  <c r="E19" i="2"/>
  <c r="F19" i="2"/>
  <c r="G19" i="2"/>
  <c r="O12" i="2"/>
  <c r="E31" i="2"/>
  <c r="F31" i="2"/>
  <c r="G31" i="2"/>
  <c r="P12" i="2"/>
  <c r="E43" i="2"/>
  <c r="F43" i="2"/>
  <c r="G43" i="2"/>
  <c r="Q12" i="2"/>
  <c r="E103" i="2"/>
  <c r="F103" i="2"/>
  <c r="G103" i="2"/>
  <c r="V12" i="2"/>
  <c r="E91" i="2"/>
  <c r="F91" i="2"/>
  <c r="G91" i="2"/>
  <c r="U12" i="2"/>
  <c r="E79" i="2"/>
  <c r="F79" i="2"/>
  <c r="G79" i="2"/>
  <c r="T12" i="2"/>
  <c r="E55" i="2"/>
  <c r="F55" i="2"/>
  <c r="G55" i="2"/>
  <c r="R12" i="2"/>
  <c r="X12" i="2"/>
  <c r="E8" i="2"/>
  <c r="F8" i="2"/>
  <c r="G8" i="2"/>
  <c r="N13" i="2"/>
  <c r="E20" i="2"/>
  <c r="F20" i="2"/>
  <c r="G20" i="2"/>
  <c r="O13" i="2"/>
  <c r="E32" i="2"/>
  <c r="F32" i="2"/>
  <c r="G32" i="2"/>
  <c r="P13" i="2"/>
  <c r="E44" i="2"/>
  <c r="F44" i="2"/>
  <c r="G44" i="2"/>
  <c r="Q13" i="2"/>
  <c r="E104" i="2"/>
  <c r="F104" i="2"/>
  <c r="G104" i="2"/>
  <c r="V13" i="2"/>
  <c r="E92" i="2"/>
  <c r="F92" i="2"/>
  <c r="G92" i="2"/>
  <c r="U13" i="2"/>
  <c r="E80" i="2"/>
  <c r="F80" i="2"/>
  <c r="G80" i="2"/>
  <c r="T13" i="2"/>
  <c r="E56" i="2"/>
  <c r="F56" i="2"/>
  <c r="G56" i="2"/>
  <c r="R13" i="2"/>
  <c r="X13" i="2"/>
  <c r="E9" i="2"/>
  <c r="F9" i="2"/>
  <c r="G9" i="2"/>
  <c r="N14" i="2"/>
  <c r="E21" i="2"/>
  <c r="F21" i="2"/>
  <c r="G21" i="2"/>
  <c r="O14" i="2"/>
  <c r="E33" i="2"/>
  <c r="F33" i="2"/>
  <c r="G33" i="2"/>
  <c r="P14" i="2"/>
  <c r="E45" i="2"/>
  <c r="F45" i="2"/>
  <c r="G45" i="2"/>
  <c r="Q14" i="2"/>
  <c r="E105" i="2"/>
  <c r="F105" i="2"/>
  <c r="G105" i="2"/>
  <c r="V14" i="2"/>
  <c r="E93" i="2"/>
  <c r="F93" i="2"/>
  <c r="G93" i="2"/>
  <c r="U14" i="2"/>
  <c r="E81" i="2"/>
  <c r="F81" i="2"/>
  <c r="G81" i="2"/>
  <c r="T14" i="2"/>
  <c r="E69" i="2"/>
  <c r="F69" i="2"/>
  <c r="G69" i="2"/>
  <c r="S14" i="2"/>
  <c r="E57" i="2"/>
  <c r="F57" i="2"/>
  <c r="G57" i="2"/>
  <c r="R14" i="2"/>
  <c r="X14" i="2"/>
  <c r="E10" i="2"/>
  <c r="F10" i="2"/>
  <c r="G10" i="2"/>
  <c r="N15" i="2"/>
  <c r="E22" i="2"/>
  <c r="F22" i="2"/>
  <c r="G22" i="2"/>
  <c r="O15" i="2"/>
  <c r="E34" i="2"/>
  <c r="F34" i="2"/>
  <c r="G34" i="2"/>
  <c r="P15" i="2"/>
  <c r="E46" i="2"/>
  <c r="F46" i="2"/>
  <c r="G46" i="2"/>
  <c r="Q15" i="2"/>
  <c r="E106" i="2"/>
  <c r="F106" i="2"/>
  <c r="G106" i="2"/>
  <c r="V15" i="2"/>
  <c r="E94" i="2"/>
  <c r="F94" i="2"/>
  <c r="G94" i="2"/>
  <c r="U15" i="2"/>
  <c r="E82" i="2"/>
  <c r="F82" i="2"/>
  <c r="G82" i="2"/>
  <c r="T15" i="2"/>
  <c r="E70" i="2"/>
  <c r="F70" i="2"/>
  <c r="G70" i="2"/>
  <c r="S15" i="2"/>
  <c r="E58" i="2"/>
  <c r="F58" i="2"/>
  <c r="G58" i="2"/>
  <c r="R15" i="2"/>
  <c r="X15" i="2"/>
  <c r="E11" i="2"/>
  <c r="F11" i="2"/>
  <c r="G11" i="2"/>
  <c r="N16" i="2"/>
  <c r="E23" i="2"/>
  <c r="F23" i="2"/>
  <c r="G23" i="2"/>
  <c r="O16" i="2"/>
  <c r="E35" i="2"/>
  <c r="F35" i="2"/>
  <c r="G35" i="2"/>
  <c r="P16" i="2"/>
  <c r="E47" i="2"/>
  <c r="F47" i="2"/>
  <c r="G47" i="2"/>
  <c r="Q16" i="2"/>
  <c r="E107" i="2"/>
  <c r="F107" i="2"/>
  <c r="G107" i="2"/>
  <c r="V16" i="2"/>
  <c r="E95" i="2"/>
  <c r="F95" i="2"/>
  <c r="G95" i="2"/>
  <c r="U16" i="2"/>
  <c r="E83" i="2"/>
  <c r="F83" i="2"/>
  <c r="G83" i="2"/>
  <c r="T16" i="2"/>
  <c r="E71" i="2"/>
  <c r="F71" i="2"/>
  <c r="G71" i="2"/>
  <c r="S16" i="2"/>
  <c r="E59" i="2"/>
  <c r="F59" i="2"/>
  <c r="G59" i="2"/>
  <c r="R16" i="2"/>
  <c r="X16" i="2"/>
  <c r="E12" i="2"/>
  <c r="F12" i="2"/>
  <c r="G12" i="2"/>
  <c r="N17" i="2"/>
  <c r="E24" i="2"/>
  <c r="F24" i="2"/>
  <c r="G24" i="2"/>
  <c r="O17" i="2"/>
  <c r="E36" i="2"/>
  <c r="F36" i="2"/>
  <c r="G36" i="2"/>
  <c r="P17" i="2"/>
  <c r="E48" i="2"/>
  <c r="F48" i="2"/>
  <c r="G48" i="2"/>
  <c r="Q17" i="2"/>
  <c r="E108" i="2"/>
  <c r="F108" i="2"/>
  <c r="G108" i="2"/>
  <c r="V17" i="2"/>
  <c r="E96" i="2"/>
  <c r="F96" i="2"/>
  <c r="G96" i="2"/>
  <c r="U17" i="2"/>
  <c r="E84" i="2"/>
  <c r="F84" i="2"/>
  <c r="G84" i="2"/>
  <c r="T17" i="2"/>
  <c r="E72" i="2"/>
  <c r="F72" i="2"/>
  <c r="G72" i="2"/>
  <c r="S17" i="2"/>
  <c r="E60" i="2"/>
  <c r="F60" i="2"/>
  <c r="G60" i="2"/>
  <c r="R17" i="2"/>
  <c r="X17" i="2"/>
  <c r="E13" i="2"/>
  <c r="F13" i="2"/>
  <c r="G13" i="2"/>
  <c r="N18" i="2"/>
  <c r="E25" i="2"/>
  <c r="F25" i="2"/>
  <c r="G25" i="2"/>
  <c r="O18" i="2"/>
  <c r="E37" i="2"/>
  <c r="F37" i="2"/>
  <c r="G37" i="2"/>
  <c r="P18" i="2"/>
  <c r="E49" i="2"/>
  <c r="F49" i="2"/>
  <c r="G49" i="2"/>
  <c r="Q18" i="2"/>
  <c r="E109" i="2"/>
  <c r="F109" i="2"/>
  <c r="G109" i="2"/>
  <c r="V18" i="2"/>
  <c r="E97" i="2"/>
  <c r="F97" i="2"/>
  <c r="G97" i="2"/>
  <c r="U18" i="2"/>
  <c r="E85" i="2"/>
  <c r="F85" i="2"/>
  <c r="G85" i="2"/>
  <c r="T18" i="2"/>
  <c r="E73" i="2"/>
  <c r="F73" i="2"/>
  <c r="G73" i="2"/>
  <c r="S18" i="2"/>
  <c r="F61" i="2"/>
  <c r="G61" i="2"/>
  <c r="R18" i="2"/>
  <c r="X18" i="2"/>
  <c r="F14" i="2"/>
  <c r="G14" i="2"/>
  <c r="O7" i="2"/>
  <c r="F26" i="2"/>
  <c r="G26" i="2"/>
  <c r="P7" i="2"/>
  <c r="F38" i="2"/>
  <c r="G38" i="2"/>
  <c r="Q7" i="2"/>
  <c r="F50" i="2"/>
  <c r="G50" i="2"/>
  <c r="R7" i="2"/>
  <c r="F110" i="2"/>
  <c r="G110" i="2"/>
  <c r="W7" i="2"/>
  <c r="F98" i="2"/>
  <c r="G98" i="2"/>
  <c r="V7" i="2"/>
  <c r="F86" i="2"/>
  <c r="G86" i="2"/>
  <c r="U7" i="2"/>
  <c r="F74" i="2"/>
  <c r="G74" i="2"/>
  <c r="T7" i="2"/>
  <c r="X7" i="2"/>
  <c r="N4" i="2"/>
  <c r="I2" i="3" l="1"/>
  <c r="I80" i="3"/>
  <c r="I119" i="3"/>
  <c r="I112" i="3"/>
  <c r="I117" i="3"/>
  <c r="I82" i="3"/>
  <c r="I86" i="3"/>
  <c r="J86" i="3" s="1"/>
  <c r="I90" i="3"/>
  <c r="J90" i="3" s="1"/>
  <c r="I95" i="3"/>
  <c r="I63" i="3"/>
  <c r="J63" i="3" s="1"/>
  <c r="I72" i="3"/>
  <c r="I19" i="3"/>
  <c r="J19" i="3" s="1"/>
  <c r="I8" i="3"/>
  <c r="J8" i="3" s="1"/>
  <c r="I44" i="3"/>
  <c r="I22" i="3"/>
  <c r="J22" i="3" s="1"/>
  <c r="I27" i="3"/>
  <c r="J27" i="3" s="1"/>
  <c r="I28" i="3"/>
  <c r="J28" i="3" s="1"/>
  <c r="I21" i="3"/>
  <c r="J21" i="3" s="1"/>
  <c r="I16" i="3"/>
  <c r="J16" i="3" s="1"/>
  <c r="I113" i="3"/>
  <c r="I120" i="3"/>
  <c r="I79" i="3"/>
  <c r="I92" i="3"/>
  <c r="J92" i="3" s="1"/>
  <c r="I101" i="3"/>
  <c r="I65" i="3"/>
  <c r="I69" i="3"/>
  <c r="I52" i="3"/>
  <c r="I56" i="3"/>
  <c r="I39" i="3"/>
  <c r="J39" i="3" s="1"/>
  <c r="I46" i="3"/>
  <c r="I20" i="3"/>
  <c r="J20" i="3" s="1"/>
  <c r="I13" i="3"/>
  <c r="J13" i="3" s="1"/>
  <c r="I3" i="3"/>
  <c r="I4" i="3"/>
  <c r="I30" i="3"/>
  <c r="J30" i="3" s="1"/>
  <c r="I5" i="3"/>
  <c r="I10" i="3"/>
  <c r="J10" i="3" s="1"/>
  <c r="I88" i="3"/>
  <c r="J88" i="3" s="1"/>
  <c r="I102" i="3"/>
  <c r="I106" i="3"/>
  <c r="I74" i="3"/>
  <c r="I51" i="3"/>
  <c r="I37" i="3"/>
  <c r="J37" i="3" s="1"/>
  <c r="I43" i="3"/>
  <c r="I48" i="3"/>
  <c r="J48" i="3" s="1"/>
  <c r="I45" i="3"/>
  <c r="J45" i="3" s="1"/>
  <c r="I41" i="3"/>
  <c r="I38" i="3"/>
  <c r="J38" i="3" s="1"/>
  <c r="I31" i="3"/>
  <c r="J31" i="3" s="1"/>
  <c r="I76" i="3"/>
  <c r="I67" i="3"/>
  <c r="I105" i="3"/>
  <c r="I100" i="3"/>
  <c r="I91" i="3"/>
  <c r="J91" i="3" s="1"/>
  <c r="I85" i="3"/>
  <c r="I121" i="3"/>
  <c r="I116" i="3"/>
  <c r="I108" i="3"/>
  <c r="I58" i="3"/>
  <c r="I18" i="3"/>
  <c r="J18" i="3" s="1"/>
  <c r="I15" i="3"/>
  <c r="J15" i="3" s="1"/>
  <c r="I11" i="3"/>
  <c r="J11" i="3" s="1"/>
  <c r="I6" i="3"/>
  <c r="I29" i="3"/>
  <c r="J29" i="3" s="1"/>
  <c r="I26" i="3"/>
  <c r="J26" i="3" s="1"/>
  <c r="I23" i="3"/>
  <c r="J23" i="3" s="1"/>
  <c r="I42" i="3"/>
  <c r="I34" i="3"/>
  <c r="J34" i="3" s="1"/>
  <c r="I59" i="3"/>
  <c r="I57" i="3"/>
  <c r="I50" i="3"/>
  <c r="I77" i="3"/>
  <c r="I73" i="3"/>
  <c r="I70" i="3"/>
  <c r="I66" i="3"/>
  <c r="I104" i="3"/>
  <c r="I84" i="3"/>
  <c r="I114" i="3"/>
  <c r="I111" i="3"/>
  <c r="I9" i="3"/>
  <c r="J9" i="3" s="1"/>
  <c r="I7" i="3"/>
  <c r="I25" i="3"/>
  <c r="J25" i="3" s="1"/>
  <c r="I49" i="3"/>
  <c r="I61" i="3"/>
  <c r="I17" i="3"/>
  <c r="J17" i="3" s="1"/>
  <c r="I14" i="3"/>
  <c r="J14" i="3" s="1"/>
  <c r="I24" i="3"/>
  <c r="J24" i="3" s="1"/>
  <c r="I47" i="3"/>
  <c r="I40" i="3"/>
  <c r="J40" i="3" s="1"/>
  <c r="I32" i="3"/>
  <c r="J32" i="3" s="1"/>
  <c r="I54" i="3"/>
  <c r="I75" i="3"/>
  <c r="I71" i="3"/>
  <c r="I68" i="3"/>
  <c r="I64" i="3"/>
  <c r="J64" i="3" s="1"/>
  <c r="I98" i="3"/>
  <c r="I12" i="3"/>
  <c r="J12" i="3" s="1"/>
  <c r="I97" i="3"/>
  <c r="I93" i="3"/>
  <c r="J93" i="3" s="1"/>
  <c r="I87" i="3"/>
  <c r="J87" i="3" s="1"/>
  <c r="I83" i="3"/>
  <c r="I81" i="3"/>
  <c r="I110" i="3"/>
  <c r="I109" i="3"/>
  <c r="I115" i="3"/>
  <c r="I118" i="3"/>
  <c r="I78" i="3"/>
  <c r="I89" i="3"/>
  <c r="J89" i="3" s="1"/>
  <c r="I94" i="3"/>
  <c r="J94" i="3" s="1"/>
  <c r="I96" i="3"/>
  <c r="I99" i="3"/>
  <c r="I103" i="3"/>
  <c r="I107" i="3"/>
  <c r="I53" i="3"/>
  <c r="I55" i="3"/>
  <c r="I60" i="3"/>
  <c r="I62" i="3"/>
  <c r="I33" i="3"/>
  <c r="J33" i="3" s="1"/>
  <c r="I35" i="3"/>
  <c r="J35" i="3" s="1"/>
  <c r="I36" i="3"/>
  <c r="J36" i="3" s="1"/>
  <c r="J80" i="3"/>
  <c r="F80" i="3"/>
  <c r="V15" i="3" s="1"/>
  <c r="J81" i="3"/>
  <c r="F81" i="3"/>
  <c r="V16" i="3" s="1"/>
  <c r="F72" i="3"/>
  <c r="U19" i="3" s="1"/>
  <c r="J72" i="3"/>
  <c r="F73" i="3"/>
  <c r="U20" i="3" s="1"/>
  <c r="J73" i="3"/>
  <c r="J74" i="3"/>
  <c r="F74" i="3"/>
  <c r="V9" i="3" s="1"/>
  <c r="F75" i="3"/>
  <c r="V10" i="3" s="1"/>
  <c r="J75" i="3"/>
  <c r="F76" i="3"/>
  <c r="V11" i="3" s="1"/>
  <c r="J76" i="3"/>
  <c r="J77" i="3"/>
  <c r="F77" i="3"/>
  <c r="V12" i="3" s="1"/>
  <c r="J78" i="3"/>
  <c r="F78" i="3"/>
  <c r="V13" i="3" s="1"/>
  <c r="J79" i="3"/>
  <c r="F79" i="3"/>
  <c r="V14" i="3" s="1"/>
  <c r="J65" i="3"/>
  <c r="F65" i="3"/>
  <c r="U12" i="3" s="1"/>
  <c r="J66" i="3"/>
  <c r="F66" i="3"/>
  <c r="U13" i="3" s="1"/>
  <c r="J67" i="3"/>
  <c r="F67" i="3"/>
  <c r="U14" i="3" s="1"/>
  <c r="J68" i="3"/>
  <c r="F68" i="3"/>
  <c r="U15" i="3" s="1"/>
  <c r="J69" i="3"/>
  <c r="F69" i="3"/>
  <c r="U16" i="3" s="1"/>
  <c r="F70" i="3"/>
  <c r="U17" i="3" s="1"/>
  <c r="J70" i="3"/>
  <c r="J71" i="3"/>
  <c r="F71" i="3"/>
  <c r="U18" i="3" s="1"/>
  <c r="J51" i="3"/>
  <c r="F51" i="3"/>
  <c r="T10" i="3" s="1"/>
  <c r="F52" i="3"/>
  <c r="T11" i="3" s="1"/>
  <c r="J52" i="3"/>
  <c r="J53" i="3"/>
  <c r="F53" i="3"/>
  <c r="T12" i="3" s="1"/>
  <c r="J54" i="3"/>
  <c r="F54" i="3"/>
  <c r="T13" i="3" s="1"/>
  <c r="J55" i="3"/>
  <c r="F55" i="3"/>
  <c r="T14" i="3" s="1"/>
  <c r="F56" i="3"/>
  <c r="T15" i="3" s="1"/>
  <c r="J56" i="3"/>
  <c r="F57" i="3"/>
  <c r="T16" i="3" s="1"/>
  <c r="J57" i="3"/>
  <c r="F58" i="3"/>
  <c r="T17" i="3" s="1"/>
  <c r="J58" i="3"/>
  <c r="J59" i="3"/>
  <c r="F59" i="3"/>
  <c r="T18" i="3" s="1"/>
  <c r="F60" i="3"/>
  <c r="T19" i="3" s="1"/>
  <c r="J60" i="3"/>
  <c r="J61" i="3"/>
  <c r="F61" i="3"/>
  <c r="T20" i="3" s="1"/>
  <c r="J62" i="3"/>
  <c r="F62" i="3"/>
  <c r="U9" i="3" s="1"/>
  <c r="F41" i="3"/>
  <c r="S12" i="3" s="1"/>
  <c r="J41" i="3"/>
  <c r="F42" i="3"/>
  <c r="S13" i="3" s="1"/>
  <c r="J42" i="3"/>
  <c r="J43" i="3"/>
  <c r="F43" i="3"/>
  <c r="S14" i="3" s="1"/>
  <c r="J44" i="3"/>
  <c r="F44" i="3"/>
  <c r="S15" i="3" s="1"/>
  <c r="F108" i="3"/>
  <c r="X19" i="3" s="1"/>
  <c r="J108" i="3"/>
  <c r="F109" i="3"/>
  <c r="X20" i="3" s="1"/>
  <c r="J109" i="3"/>
  <c r="F110" i="3"/>
  <c r="Y9" i="3" s="1"/>
  <c r="J110" i="3"/>
  <c r="F111" i="3"/>
  <c r="Y10" i="3" s="1"/>
  <c r="J111" i="3"/>
  <c r="F112" i="3"/>
  <c r="Y11" i="3" s="1"/>
  <c r="J112" i="3"/>
  <c r="F113" i="3"/>
  <c r="Y12" i="3" s="1"/>
  <c r="J113" i="3"/>
  <c r="F114" i="3"/>
  <c r="Y13" i="3" s="1"/>
  <c r="J114" i="3"/>
  <c r="E96" i="3"/>
  <c r="E95" i="3"/>
  <c r="F97" i="3"/>
  <c r="W20" i="3" s="1"/>
  <c r="J97" i="3"/>
  <c r="F98" i="3"/>
  <c r="X9" i="3" s="1"/>
  <c r="J98" i="3"/>
  <c r="F99" i="3"/>
  <c r="X10" i="3" s="1"/>
  <c r="J99" i="3"/>
  <c r="F100" i="3"/>
  <c r="X11" i="3" s="1"/>
  <c r="J100" i="3"/>
  <c r="F101" i="3"/>
  <c r="X12" i="3" s="1"/>
  <c r="J101" i="3"/>
  <c r="F102" i="3"/>
  <c r="X13" i="3" s="1"/>
  <c r="J102" i="3"/>
  <c r="F103" i="3"/>
  <c r="X14" i="3" s="1"/>
  <c r="J103" i="3"/>
  <c r="F104" i="3"/>
  <c r="X15" i="3" s="1"/>
  <c r="J104" i="3"/>
  <c r="F105" i="3"/>
  <c r="X16" i="3" s="1"/>
  <c r="J105" i="3"/>
  <c r="F106" i="3"/>
  <c r="X17" i="3" s="1"/>
  <c r="J106" i="3"/>
  <c r="F107" i="3"/>
  <c r="X18" i="3" s="1"/>
  <c r="J107" i="3"/>
  <c r="E82" i="3"/>
  <c r="E83" i="3"/>
  <c r="F84" i="3"/>
  <c r="V19" i="3" s="1"/>
  <c r="J84" i="3"/>
  <c r="F85" i="3"/>
  <c r="V20" i="3" s="1"/>
  <c r="J85" i="3"/>
  <c r="F86" i="3"/>
  <c r="W9" i="3" s="1"/>
  <c r="F87" i="3"/>
  <c r="W10" i="3" s="1"/>
  <c r="F88" i="3"/>
  <c r="W11" i="3" s="1"/>
  <c r="F89" i="3"/>
  <c r="W12" i="3" s="1"/>
  <c r="F90" i="3"/>
  <c r="W13" i="3" s="1"/>
  <c r="F91" i="3"/>
  <c r="W14" i="3" s="1"/>
  <c r="F92" i="3"/>
  <c r="W15" i="3" s="1"/>
  <c r="F93" i="3"/>
  <c r="W16" i="3" s="1"/>
  <c r="F94" i="3"/>
  <c r="W17" i="3" s="1"/>
  <c r="F63" i="3"/>
  <c r="U10" i="3" s="1"/>
  <c r="F64" i="3"/>
  <c r="U11" i="3" s="1"/>
  <c r="F45" i="3"/>
  <c r="S16" i="3" s="1"/>
  <c r="E47" i="3"/>
  <c r="E46" i="3"/>
  <c r="F48" i="3"/>
  <c r="S19" i="3" s="1"/>
  <c r="E49" i="3"/>
  <c r="E50" i="3"/>
  <c r="F32" i="3"/>
  <c r="R15" i="3" s="1"/>
  <c r="F33" i="3"/>
  <c r="R16" i="3" s="1"/>
  <c r="F34" i="3"/>
  <c r="R17" i="3" s="1"/>
  <c r="F35" i="3"/>
  <c r="R18" i="3" s="1"/>
  <c r="F36" i="3"/>
  <c r="R19" i="3" s="1"/>
  <c r="F37" i="3"/>
  <c r="R20" i="3" s="1"/>
  <c r="F38" i="3"/>
  <c r="S9" i="3" s="1"/>
  <c r="F39" i="3"/>
  <c r="S10" i="3" s="1"/>
  <c r="F40" i="3"/>
  <c r="S11" i="3" s="1"/>
  <c r="F23" i="3"/>
  <c r="Q18" i="3" s="1"/>
  <c r="F24" i="3"/>
  <c r="Q19" i="3" s="1"/>
  <c r="F25" i="3"/>
  <c r="Q20" i="3" s="1"/>
  <c r="F26" i="3"/>
  <c r="R9" i="3" s="1"/>
  <c r="F27" i="3"/>
  <c r="R10" i="3" s="1"/>
  <c r="F28" i="3"/>
  <c r="R11" i="3" s="1"/>
  <c r="F29" i="3"/>
  <c r="R12" i="3" s="1"/>
  <c r="F30" i="3"/>
  <c r="R13" i="3" s="1"/>
  <c r="F31" i="3"/>
  <c r="R14" i="3" s="1"/>
  <c r="F9" i="3"/>
  <c r="P16" i="3" s="1"/>
  <c r="F10" i="3"/>
  <c r="P17" i="3" s="1"/>
  <c r="F11" i="3"/>
  <c r="P18" i="3" s="1"/>
  <c r="F12" i="3"/>
  <c r="P19" i="3" s="1"/>
  <c r="F13" i="3"/>
  <c r="P20" i="3" s="1"/>
  <c r="F14" i="3"/>
  <c r="Q9" i="3" s="1"/>
  <c r="F15" i="3"/>
  <c r="Q10" i="3" s="1"/>
  <c r="F16" i="3"/>
  <c r="Q11" i="3" s="1"/>
  <c r="F17" i="3"/>
  <c r="Q12" i="3" s="1"/>
  <c r="F18" i="3"/>
  <c r="Q13" i="3" s="1"/>
  <c r="F19" i="3"/>
  <c r="Q14" i="3" s="1"/>
  <c r="F20" i="3"/>
  <c r="Q15" i="3" s="1"/>
  <c r="F21" i="3"/>
  <c r="Q16" i="3" s="1"/>
  <c r="F22" i="3"/>
  <c r="Q17" i="3" s="1"/>
  <c r="F8" i="3"/>
  <c r="P15" i="3" s="1"/>
  <c r="K2" i="3" l="1"/>
  <c r="L2" i="3" s="1"/>
  <c r="K80" i="3"/>
  <c r="L80" i="3" s="1"/>
  <c r="K119" i="3"/>
  <c r="L119" i="3" s="1"/>
  <c r="K112" i="3"/>
  <c r="L112" i="3" s="1"/>
  <c r="K117" i="3"/>
  <c r="L117" i="3" s="1"/>
  <c r="K82" i="3"/>
  <c r="L82" i="3" s="1"/>
  <c r="K86" i="3"/>
  <c r="L86" i="3"/>
  <c r="L90" i="3"/>
  <c r="K90" i="3"/>
  <c r="L95" i="3"/>
  <c r="K95" i="3"/>
  <c r="K63" i="3"/>
  <c r="L63" i="3" s="1"/>
  <c r="K72" i="3"/>
  <c r="L72" i="3" s="1"/>
  <c r="K19" i="3"/>
  <c r="L19" i="3" s="1"/>
  <c r="K8" i="3"/>
  <c r="L8" i="3" s="1"/>
  <c r="K44" i="3"/>
  <c r="L44" i="3"/>
  <c r="K22" i="3"/>
  <c r="L22" i="3"/>
  <c r="K27" i="3"/>
  <c r="L27" i="3"/>
  <c r="K28" i="3"/>
  <c r="L28" i="3" s="1"/>
  <c r="K21" i="3"/>
  <c r="L21" i="3" s="1"/>
  <c r="K16" i="3"/>
  <c r="L16" i="3"/>
  <c r="K113" i="3"/>
  <c r="L113" i="3"/>
  <c r="K120" i="3"/>
  <c r="L120" i="3" s="1"/>
  <c r="K79" i="3"/>
  <c r="L79" i="3" s="1"/>
  <c r="K92" i="3"/>
  <c r="L92" i="3"/>
  <c r="K101" i="3"/>
  <c r="L101" i="3" s="1"/>
  <c r="K65" i="3"/>
  <c r="L65" i="3"/>
  <c r="K69" i="3"/>
  <c r="L69" i="3" s="1"/>
  <c r="K52" i="3"/>
  <c r="L52" i="3" s="1"/>
  <c r="K56" i="3"/>
  <c r="L56" i="3"/>
  <c r="K39" i="3"/>
  <c r="L39" i="3" s="1"/>
  <c r="K46" i="3"/>
  <c r="L46" i="3"/>
  <c r="K20" i="3"/>
  <c r="L20" i="3"/>
  <c r="K13" i="3"/>
  <c r="L13" i="3" s="1"/>
  <c r="K3" i="3"/>
  <c r="L3" i="3" s="1"/>
  <c r="K4" i="3"/>
  <c r="L4" i="3"/>
  <c r="K30" i="3"/>
  <c r="L30" i="3" s="1"/>
  <c r="K5" i="3"/>
  <c r="L5" i="3"/>
  <c r="K10" i="3"/>
  <c r="L10" i="3"/>
  <c r="K88" i="3"/>
  <c r="L88" i="3" s="1"/>
  <c r="K102" i="3"/>
  <c r="L102" i="3"/>
  <c r="K106" i="3"/>
  <c r="L106" i="3"/>
  <c r="K74" i="3"/>
  <c r="L74" i="3"/>
  <c r="K51" i="3"/>
  <c r="L51" i="3"/>
  <c r="K37" i="3"/>
  <c r="L37" i="3"/>
  <c r="K43" i="3"/>
  <c r="L43" i="3"/>
  <c r="K48" i="3"/>
  <c r="L48" i="3"/>
  <c r="K45" i="3"/>
  <c r="L45" i="3"/>
  <c r="K41" i="3"/>
  <c r="L41" i="3"/>
  <c r="K38" i="3"/>
  <c r="L38" i="3"/>
  <c r="K31" i="3"/>
  <c r="L31" i="3"/>
  <c r="K76" i="3"/>
  <c r="L76" i="3"/>
  <c r="K67" i="3"/>
  <c r="L67" i="3"/>
  <c r="K105" i="3"/>
  <c r="L105" i="3" s="1"/>
  <c r="K100" i="3"/>
  <c r="L100" i="3"/>
  <c r="K91" i="3"/>
  <c r="L91" i="3"/>
  <c r="K85" i="3"/>
  <c r="L85" i="3"/>
  <c r="K121" i="3"/>
  <c r="L121" i="3"/>
  <c r="K116" i="3"/>
  <c r="L116" i="3"/>
  <c r="K108" i="3"/>
  <c r="L108" i="3"/>
  <c r="K58" i="3"/>
  <c r="L58" i="3"/>
  <c r="K18" i="3"/>
  <c r="L18" i="3"/>
  <c r="K15" i="3"/>
  <c r="L15" i="3"/>
  <c r="K11" i="3"/>
  <c r="L11" i="3"/>
  <c r="K6" i="3"/>
  <c r="L6" i="3"/>
  <c r="K29" i="3"/>
  <c r="L29" i="3"/>
  <c r="K26" i="3"/>
  <c r="L26" i="3"/>
  <c r="K23" i="3"/>
  <c r="L23" i="3"/>
  <c r="K42" i="3"/>
  <c r="L42" i="3"/>
  <c r="K34" i="3"/>
  <c r="L34" i="3"/>
  <c r="K59" i="3"/>
  <c r="L59" i="3"/>
  <c r="K57" i="3"/>
  <c r="L57" i="3"/>
  <c r="K50" i="3"/>
  <c r="L50" i="3"/>
  <c r="K77" i="3"/>
  <c r="L77" i="3"/>
  <c r="K73" i="3"/>
  <c r="L73" i="3"/>
  <c r="K70" i="3"/>
  <c r="L70" i="3"/>
  <c r="K66" i="3"/>
  <c r="L66" i="3"/>
  <c r="K104" i="3"/>
  <c r="L104" i="3" s="1"/>
  <c r="K84" i="3"/>
  <c r="L84" i="3"/>
  <c r="K114" i="3"/>
  <c r="L114" i="3"/>
  <c r="K111" i="3"/>
  <c r="L111" i="3" s="1"/>
  <c r="K9" i="3"/>
  <c r="L9" i="3"/>
  <c r="K7" i="3"/>
  <c r="L7" i="3"/>
  <c r="K25" i="3"/>
  <c r="L25" i="3"/>
  <c r="K61" i="3"/>
  <c r="L61" i="3"/>
  <c r="K17" i="3"/>
  <c r="L17" i="3"/>
  <c r="K14" i="3"/>
  <c r="L14" i="3"/>
  <c r="K24" i="3"/>
  <c r="L24" i="3"/>
  <c r="K47" i="3"/>
  <c r="L47" i="3"/>
  <c r="K40" i="3"/>
  <c r="L40" i="3"/>
  <c r="K32" i="3"/>
  <c r="L32" i="3" s="1"/>
  <c r="K54" i="3"/>
  <c r="L54" i="3"/>
  <c r="K75" i="3"/>
  <c r="L75" i="3"/>
  <c r="K71" i="3"/>
  <c r="L71" i="3"/>
  <c r="K68" i="3"/>
  <c r="L68" i="3"/>
  <c r="K64" i="3"/>
  <c r="L64" i="3"/>
  <c r="K98" i="3"/>
  <c r="L98" i="3"/>
  <c r="K12" i="3"/>
  <c r="L12" i="3"/>
  <c r="K97" i="3"/>
  <c r="L97" i="3"/>
  <c r="K93" i="3"/>
  <c r="L93" i="3"/>
  <c r="K87" i="3"/>
  <c r="L87" i="3"/>
  <c r="K81" i="3"/>
  <c r="L81" i="3"/>
  <c r="K110" i="3"/>
  <c r="L110" i="3"/>
  <c r="K109" i="3"/>
  <c r="L109" i="3" s="1"/>
  <c r="K115" i="3"/>
  <c r="L115" i="3" s="1"/>
  <c r="K118" i="3"/>
  <c r="L118" i="3"/>
  <c r="K78" i="3"/>
  <c r="L78" i="3"/>
  <c r="K89" i="3"/>
  <c r="L89" i="3"/>
  <c r="K94" i="3"/>
  <c r="L94" i="3"/>
  <c r="K99" i="3"/>
  <c r="L99" i="3" s="1"/>
  <c r="K103" i="3"/>
  <c r="L103" i="3" s="1"/>
  <c r="K107" i="3"/>
  <c r="L107" i="3" s="1"/>
  <c r="K53" i="3"/>
  <c r="L53" i="3"/>
  <c r="K55" i="3"/>
  <c r="L55" i="3"/>
  <c r="K60" i="3"/>
  <c r="L60" i="3"/>
  <c r="K62" i="3"/>
  <c r="L62" i="3"/>
  <c r="K33" i="3"/>
  <c r="L33" i="3"/>
  <c r="K35" i="3"/>
  <c r="L35" i="3"/>
  <c r="K36" i="3"/>
  <c r="L36" i="3"/>
  <c r="F96" i="3"/>
  <c r="W19" i="3" s="1"/>
  <c r="J96" i="3"/>
  <c r="F95" i="3"/>
  <c r="W18" i="3" s="1"/>
  <c r="J95" i="3"/>
  <c r="F82" i="3"/>
  <c r="V17" i="3" s="1"/>
  <c r="J82" i="3"/>
  <c r="F83" i="3"/>
  <c r="V18" i="3" s="1"/>
  <c r="J83" i="3"/>
  <c r="F47" i="3"/>
  <c r="S18" i="3" s="1"/>
  <c r="J47" i="3"/>
  <c r="F46" i="3"/>
  <c r="S17" i="3" s="1"/>
  <c r="J46" i="3"/>
  <c r="J49" i="3"/>
  <c r="F49" i="3"/>
  <c r="S20" i="3" s="1"/>
  <c r="Z20" i="3" s="1"/>
  <c r="F50" i="3"/>
  <c r="T9" i="3" s="1"/>
  <c r="Z9" i="3" s="1"/>
  <c r="J50" i="3"/>
  <c r="Z11" i="3"/>
  <c r="Z14" i="3"/>
  <c r="Z16" i="3"/>
  <c r="Z17" i="3"/>
  <c r="Z18" i="3"/>
  <c r="Z19" i="3"/>
  <c r="Z10" i="3"/>
  <c r="Z12" i="3"/>
  <c r="Z15" i="3"/>
  <c r="Z13" i="3"/>
  <c r="K96" i="3" l="1"/>
  <c r="L96" i="3" s="1"/>
  <c r="K83" i="3"/>
  <c r="L83" i="3" s="1"/>
  <c r="K49" i="3"/>
  <c r="L49" i="3" s="1"/>
</calcChain>
</file>

<file path=xl/sharedStrings.xml><?xml version="1.0" encoding="utf-8"?>
<sst xmlns="http://schemas.openxmlformats.org/spreadsheetml/2006/main" count="57" uniqueCount="41">
  <si>
    <t>Fecha</t>
  </si>
  <si>
    <t>Créditos directos</t>
  </si>
  <si>
    <t>Depósitos totales</t>
  </si>
  <si>
    <t>Patrimonio</t>
  </si>
  <si>
    <t>PERIODO</t>
  </si>
  <si>
    <t>INTERCE</t>
  </si>
  <si>
    <t>PENDI</t>
  </si>
  <si>
    <t>R2</t>
  </si>
  <si>
    <t>AÑO</t>
  </si>
  <si>
    <t>PMS</t>
  </si>
  <si>
    <t>PMC</t>
  </si>
  <si>
    <t>Valor Estacional</t>
  </si>
  <si>
    <t>Créditos directos (Yt)</t>
  </si>
  <si>
    <t>Tendencia (Tt)</t>
  </si>
  <si>
    <t>Estacional (Et)</t>
  </si>
  <si>
    <t>Ciclo (Ct)</t>
  </si>
  <si>
    <t>Residual (Rt)</t>
  </si>
  <si>
    <t>Reconstrucción (T+E+C+R)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</si>
  <si>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</si>
  <si>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</si>
  <si>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</si>
  <si>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</si>
  <si>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</si>
  <si>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</si>
  <si>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</si>
  <si>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</si>
  <si>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AÑO9</t>
  </si>
  <si>
    <t>AÑO10</t>
  </si>
  <si>
    <t>PROMEDIO</t>
  </si>
  <si>
    <t>INTERCEPTO</t>
  </si>
  <si>
    <t>PENDIENTE</t>
  </si>
  <si>
    <t>ERROR</t>
  </si>
  <si>
    <t>PRECIO RRECONSTRUIDO</t>
  </si>
  <si>
    <t>RESIDUAL R</t>
  </si>
  <si>
    <t>CICLO C=(TxC)/T</t>
  </si>
  <si>
    <t>TENDENCIA</t>
  </si>
  <si>
    <t>INDICE ESTACIONAL AJUSTADO</t>
  </si>
  <si>
    <t>VALOR ESTACIONAL</t>
  </si>
  <si>
    <t>PROMEDIO MOVIL CENTRADO</t>
  </si>
  <si>
    <t>PROMEDIO MOVIL</t>
  </si>
  <si>
    <t>SERIE DESESTACIONALIDAD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</si>
</sst>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h:mm:ss"/>
    <numFmt numFmtId="165" formatCode="_-[$S/-280A]* #,##0.00_-;\-[$S/-280A]* #,##0.00_-;_-[$S/-280A]* &quot;-&quot;??_-;_-@_-"/>
    <numFmt numFmtId="166" formatCode="_-* #,##0.000_-;\-* #,##0.0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6"/>
      <name val="Yu Gothic"/>
      <family val="2"/>
      <charset val="128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43" fontId="0" fillId="0" borderId="0" xfId="0" applyNumberFormat="1"/>
    <xf numFmtId="166" fontId="0" fillId="0" borderId="0" xfId="0" applyNumberFormat="1" applyAlignment="1">
      <alignment horizontal="left" inden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opLeftCell="A110" workbookViewId="0">
      <selection activeCell="A125" sqref="A125"/>
    </sheetView>
  </sheetViews>
  <sheetFormatPr baseColWidth="10" defaultColWidth="8.88671875" defaultRowHeight="14.4" x14ac:dyDescent="0.3"/>
  <cols>
    <col min="1" max="1" width="18.5546875" bestFit="1" customWidth="1"/>
    <col min="2" max="3" width="17.44140625" style="4" bestFit="1" customWidth="1"/>
    <col min="4" max="4" width="16.6640625" style="4" bestFit="1" customWidth="1"/>
  </cols>
  <sheetData>
    <row r="1" spans="1:4" x14ac:dyDescent="0.3">
      <c r="A1" s="1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2">
        <v>42400</v>
      </c>
      <c r="B2" s="4">
        <v>77065888.128999993</v>
      </c>
      <c r="C2" s="4">
        <v>71907014.967999995</v>
      </c>
      <c r="D2" s="4">
        <v>12148334.002</v>
      </c>
    </row>
    <row r="3" spans="1:4" x14ac:dyDescent="0.3">
      <c r="A3" s="2">
        <v>42429</v>
      </c>
      <c r="B3" s="4">
        <v>77234678.835999995</v>
      </c>
      <c r="C3" s="4">
        <v>73626186.328999996</v>
      </c>
      <c r="D3" s="4">
        <v>12392714.176000001</v>
      </c>
    </row>
    <row r="4" spans="1:4" x14ac:dyDescent="0.3">
      <c r="A4" s="2">
        <v>42460</v>
      </c>
      <c r="B4" s="4">
        <v>77206828.991999999</v>
      </c>
      <c r="C4" s="4">
        <v>73101138.540000007</v>
      </c>
      <c r="D4" s="4">
        <v>11442040.566</v>
      </c>
    </row>
    <row r="5" spans="1:4" x14ac:dyDescent="0.3">
      <c r="A5" s="2">
        <v>42490</v>
      </c>
      <c r="B5" s="4">
        <v>76935343.510000005</v>
      </c>
      <c r="C5" s="4">
        <v>71528376.158000007</v>
      </c>
      <c r="D5" s="4">
        <v>11634408.77</v>
      </c>
    </row>
    <row r="6" spans="1:4" x14ac:dyDescent="0.3">
      <c r="A6" s="2">
        <v>42521</v>
      </c>
      <c r="B6" s="4">
        <v>76902323.275000006</v>
      </c>
      <c r="C6" s="4">
        <v>72989620.575000003</v>
      </c>
      <c r="D6" s="4">
        <v>11878527.970000001</v>
      </c>
    </row>
    <row r="7" spans="1:4" x14ac:dyDescent="0.3">
      <c r="A7" s="2">
        <v>42551</v>
      </c>
      <c r="B7" s="4">
        <v>76478592.439999998</v>
      </c>
      <c r="C7" s="4">
        <v>69401310.024000004</v>
      </c>
      <c r="D7" s="4">
        <v>12063702.504000001</v>
      </c>
    </row>
    <row r="8" spans="1:4" x14ac:dyDescent="0.3">
      <c r="A8" s="2">
        <v>42582</v>
      </c>
      <c r="B8" s="4">
        <v>76753885.857999995</v>
      </c>
      <c r="C8" s="4">
        <v>67889065.950000003</v>
      </c>
      <c r="D8" s="4">
        <v>12302781.888</v>
      </c>
    </row>
    <row r="9" spans="1:4" x14ac:dyDescent="0.3">
      <c r="A9" s="2">
        <v>42613</v>
      </c>
      <c r="B9" s="4">
        <v>77037734.658999994</v>
      </c>
      <c r="C9" s="4">
        <v>69044245.713</v>
      </c>
      <c r="D9" s="4">
        <v>12563150.5</v>
      </c>
    </row>
    <row r="10" spans="1:4" x14ac:dyDescent="0.3">
      <c r="A10" s="2">
        <v>42643</v>
      </c>
      <c r="B10" s="4">
        <v>77611834.141000003</v>
      </c>
      <c r="C10" s="4">
        <v>68236096.522</v>
      </c>
      <c r="D10" s="4">
        <v>12868460.908</v>
      </c>
    </row>
    <row r="11" spans="1:4" x14ac:dyDescent="0.3">
      <c r="A11" s="2">
        <v>42674</v>
      </c>
      <c r="B11" s="4">
        <v>76686282.165000007</v>
      </c>
      <c r="C11" s="4">
        <v>69928178.371999994</v>
      </c>
      <c r="D11" s="4">
        <v>13160654.370999999</v>
      </c>
    </row>
    <row r="12" spans="1:4" x14ac:dyDescent="0.3">
      <c r="A12" s="2">
        <v>42704</v>
      </c>
      <c r="B12" s="4">
        <v>77992908.772</v>
      </c>
      <c r="C12" s="4">
        <v>70086319.131999999</v>
      </c>
      <c r="D12" s="4">
        <v>13376635.346000001</v>
      </c>
    </row>
    <row r="13" spans="1:4" x14ac:dyDescent="0.3">
      <c r="A13" s="2">
        <v>42735</v>
      </c>
      <c r="B13" s="4">
        <v>77995484.253000006</v>
      </c>
      <c r="C13" s="4">
        <v>66130405.637999997</v>
      </c>
      <c r="D13" s="4">
        <v>13601742.157</v>
      </c>
    </row>
    <row r="14" spans="1:4" x14ac:dyDescent="0.3">
      <c r="A14" s="2">
        <v>42766</v>
      </c>
      <c r="B14" s="4">
        <v>77125502.474000007</v>
      </c>
      <c r="C14" s="4">
        <v>68627172.165999994</v>
      </c>
      <c r="D14" s="4">
        <v>13890446.318</v>
      </c>
    </row>
    <row r="15" spans="1:4" x14ac:dyDescent="0.3">
      <c r="A15" s="2">
        <v>42794</v>
      </c>
      <c r="B15" s="4">
        <v>77514213.076000005</v>
      </c>
      <c r="C15" s="4">
        <v>70281953.211999997</v>
      </c>
      <c r="D15" s="4">
        <v>14092886.964</v>
      </c>
    </row>
    <row r="16" spans="1:4" x14ac:dyDescent="0.3">
      <c r="A16" s="2">
        <v>42825</v>
      </c>
      <c r="B16" s="4">
        <v>75643558.019999996</v>
      </c>
      <c r="C16" s="4">
        <v>69491687.324000001</v>
      </c>
      <c r="D16" s="4">
        <v>12899070.85</v>
      </c>
    </row>
    <row r="17" spans="1:4" x14ac:dyDescent="0.3">
      <c r="A17" s="2">
        <v>42855</v>
      </c>
      <c r="B17" s="4">
        <v>76601884.725999996</v>
      </c>
      <c r="C17" s="4">
        <v>69923811.407000005</v>
      </c>
      <c r="D17" s="4">
        <v>13096023.458000001</v>
      </c>
    </row>
    <row r="18" spans="1:4" x14ac:dyDescent="0.3">
      <c r="A18" s="2">
        <v>42886</v>
      </c>
      <c r="B18" s="4">
        <v>76629562.649000004</v>
      </c>
      <c r="C18" s="4">
        <v>70446073.006999999</v>
      </c>
      <c r="D18" s="4">
        <v>13388476.893999999</v>
      </c>
    </row>
    <row r="19" spans="1:4" x14ac:dyDescent="0.3">
      <c r="A19" s="2">
        <v>42916</v>
      </c>
      <c r="B19" s="4">
        <v>75546043.761000007</v>
      </c>
      <c r="C19" s="4">
        <v>70987863.728</v>
      </c>
      <c r="D19" s="4">
        <v>13626471.431</v>
      </c>
    </row>
    <row r="20" spans="1:4" x14ac:dyDescent="0.3">
      <c r="A20" s="2">
        <v>42947</v>
      </c>
      <c r="B20" s="4">
        <v>76971414.700000003</v>
      </c>
      <c r="C20" s="4">
        <v>71782228.309</v>
      </c>
      <c r="D20" s="4">
        <v>13892136.506999999</v>
      </c>
    </row>
    <row r="21" spans="1:4" x14ac:dyDescent="0.3">
      <c r="A21" s="2">
        <v>42978</v>
      </c>
      <c r="B21" s="4">
        <v>76128558.827999994</v>
      </c>
      <c r="C21" s="4">
        <v>72140342.191</v>
      </c>
      <c r="D21" s="4">
        <v>14180248.957</v>
      </c>
    </row>
    <row r="22" spans="1:4" x14ac:dyDescent="0.3">
      <c r="A22" s="2">
        <v>43008</v>
      </c>
      <c r="B22" s="4">
        <v>76127011.408999994</v>
      </c>
      <c r="C22" s="4">
        <v>72407976.666999996</v>
      </c>
      <c r="D22" s="4">
        <v>14422299.047</v>
      </c>
    </row>
    <row r="23" spans="1:4" x14ac:dyDescent="0.3">
      <c r="A23" s="2">
        <v>43039</v>
      </c>
      <c r="B23" s="4">
        <v>78083434.003999993</v>
      </c>
      <c r="C23" s="4">
        <v>73064351.652999997</v>
      </c>
      <c r="D23" s="4">
        <v>14644777.954</v>
      </c>
    </row>
    <row r="24" spans="1:4" x14ac:dyDescent="0.3">
      <c r="A24" s="2">
        <v>43069</v>
      </c>
      <c r="B24" s="4">
        <v>79424101.863000005</v>
      </c>
      <c r="C24" s="4">
        <v>74545893.300999999</v>
      </c>
      <c r="D24" s="4">
        <v>14910621.779999999</v>
      </c>
    </row>
    <row r="25" spans="1:4" x14ac:dyDescent="0.3">
      <c r="A25" s="2">
        <v>43100</v>
      </c>
      <c r="B25" s="4">
        <v>80864333.925999999</v>
      </c>
      <c r="C25" s="4">
        <v>75561266.422000006</v>
      </c>
      <c r="D25" s="4">
        <v>15177919.141000001</v>
      </c>
    </row>
    <row r="26" spans="1:4" x14ac:dyDescent="0.3">
      <c r="A26" s="2">
        <v>43131</v>
      </c>
      <c r="B26" s="4">
        <v>80552135.644999996</v>
      </c>
      <c r="C26" s="4">
        <v>78967573.467999995</v>
      </c>
      <c r="D26" s="4">
        <v>15508856.435000001</v>
      </c>
    </row>
    <row r="27" spans="1:4" x14ac:dyDescent="0.3">
      <c r="A27" s="2">
        <v>43159</v>
      </c>
      <c r="B27" s="4">
        <v>81249532.937999994</v>
      </c>
      <c r="C27" s="4">
        <v>77728001.296000004</v>
      </c>
      <c r="D27" s="4">
        <v>15685075.237</v>
      </c>
    </row>
    <row r="28" spans="1:4" x14ac:dyDescent="0.3">
      <c r="A28" s="2">
        <v>43190</v>
      </c>
      <c r="B28" s="4">
        <v>81446438.895999998</v>
      </c>
      <c r="C28" s="4">
        <v>76987283.038000003</v>
      </c>
      <c r="D28" s="4">
        <v>14516980.59</v>
      </c>
    </row>
    <row r="29" spans="1:4" x14ac:dyDescent="0.3">
      <c r="A29" s="2">
        <v>43220</v>
      </c>
      <c r="B29" s="4">
        <v>82528139.888999999</v>
      </c>
      <c r="C29" s="4">
        <v>77062810.195999995</v>
      </c>
      <c r="D29" s="4">
        <v>14770460.381999999</v>
      </c>
    </row>
    <row r="30" spans="1:4" x14ac:dyDescent="0.3">
      <c r="A30" s="2">
        <v>43251</v>
      </c>
      <c r="B30" s="4">
        <v>83471509.336999997</v>
      </c>
      <c r="C30" s="4">
        <v>77997933.643999994</v>
      </c>
      <c r="D30" s="4">
        <v>15035627.562999999</v>
      </c>
    </row>
    <row r="31" spans="1:4" x14ac:dyDescent="0.3">
      <c r="A31" s="2">
        <v>43281</v>
      </c>
      <c r="B31" s="4">
        <v>83112618.229000002</v>
      </c>
      <c r="C31" s="4">
        <v>75547122.753000006</v>
      </c>
      <c r="D31" s="4">
        <v>15290596.602</v>
      </c>
    </row>
    <row r="32" spans="1:4" x14ac:dyDescent="0.3">
      <c r="A32" s="2">
        <v>43312</v>
      </c>
      <c r="B32" s="4">
        <v>83608595.593999997</v>
      </c>
      <c r="C32" s="4">
        <v>75883784.164000005</v>
      </c>
      <c r="D32" s="4">
        <v>15602388.024</v>
      </c>
    </row>
    <row r="33" spans="1:4" x14ac:dyDescent="0.3">
      <c r="A33" s="2">
        <v>43343</v>
      </c>
      <c r="B33" s="4">
        <v>85010374.583000004</v>
      </c>
      <c r="C33" s="4">
        <v>76935293.540999994</v>
      </c>
      <c r="D33" s="4">
        <v>15894038.982999999</v>
      </c>
    </row>
    <row r="34" spans="1:4" x14ac:dyDescent="0.3">
      <c r="A34" s="2">
        <v>43373</v>
      </c>
      <c r="B34" s="4">
        <v>85348352.700000003</v>
      </c>
      <c r="C34" s="4">
        <v>76220788.363000005</v>
      </c>
      <c r="D34" s="4">
        <v>16167258.482000001</v>
      </c>
    </row>
    <row r="35" spans="1:4" x14ac:dyDescent="0.3">
      <c r="A35" s="2">
        <v>43404</v>
      </c>
      <c r="B35" s="4">
        <v>87001344.153999999</v>
      </c>
      <c r="C35" s="4">
        <v>78526132.384000003</v>
      </c>
      <c r="D35" s="4">
        <v>16413231.591</v>
      </c>
    </row>
    <row r="36" spans="1:4" x14ac:dyDescent="0.3">
      <c r="A36" s="2">
        <v>43434</v>
      </c>
      <c r="B36" s="4">
        <v>87881767.018999994</v>
      </c>
      <c r="C36" s="4">
        <v>80370846.533000007</v>
      </c>
      <c r="D36" s="4">
        <v>16676046.43</v>
      </c>
    </row>
    <row r="37" spans="1:4" x14ac:dyDescent="0.3">
      <c r="A37" s="2">
        <v>43465</v>
      </c>
      <c r="B37" s="4">
        <v>91008617.066</v>
      </c>
      <c r="C37" s="4">
        <v>83108912.949000001</v>
      </c>
      <c r="D37" s="4">
        <v>16957942.09</v>
      </c>
    </row>
    <row r="38" spans="1:4" x14ac:dyDescent="0.3">
      <c r="A38" s="2">
        <v>43496</v>
      </c>
      <c r="B38" s="4">
        <v>87595500.759000003</v>
      </c>
      <c r="C38" s="4">
        <v>83270661.116999999</v>
      </c>
      <c r="D38" s="4">
        <v>17355925.817000002</v>
      </c>
    </row>
    <row r="39" spans="1:4" x14ac:dyDescent="0.3">
      <c r="A39" s="2">
        <v>43524</v>
      </c>
      <c r="B39" s="4">
        <v>86352028.885000005</v>
      </c>
      <c r="C39" s="4">
        <v>82646849.773000002</v>
      </c>
      <c r="D39" s="4">
        <v>17642690.958000001</v>
      </c>
    </row>
    <row r="40" spans="1:4" x14ac:dyDescent="0.3">
      <c r="A40" s="2">
        <v>43555</v>
      </c>
      <c r="B40" s="4">
        <v>88640431.001000002</v>
      </c>
      <c r="C40" s="4">
        <v>83217439.744000003</v>
      </c>
      <c r="D40" s="4">
        <v>16475197.738</v>
      </c>
    </row>
    <row r="41" spans="1:4" x14ac:dyDescent="0.3">
      <c r="A41" s="2">
        <v>43585</v>
      </c>
      <c r="B41" s="4">
        <v>88372423.069000006</v>
      </c>
      <c r="C41" s="4">
        <v>84444419.187000006</v>
      </c>
      <c r="D41" s="4">
        <v>16852180.677999999</v>
      </c>
    </row>
    <row r="42" spans="1:4" x14ac:dyDescent="0.3">
      <c r="A42" s="2">
        <v>43616</v>
      </c>
      <c r="B42" s="4">
        <v>89915520.664000005</v>
      </c>
      <c r="C42" s="4">
        <v>85313577.275999993</v>
      </c>
      <c r="D42" s="4">
        <v>17163276.901999999</v>
      </c>
    </row>
    <row r="43" spans="1:4" x14ac:dyDescent="0.3">
      <c r="A43" s="2">
        <v>43646</v>
      </c>
      <c r="B43" s="4">
        <v>89142429.312000006</v>
      </c>
      <c r="C43" s="4">
        <v>82913866.834000006</v>
      </c>
      <c r="D43" s="4">
        <v>17521057.261</v>
      </c>
    </row>
    <row r="44" spans="1:4" x14ac:dyDescent="0.3">
      <c r="A44" s="2">
        <v>43677</v>
      </c>
      <c r="B44" s="4">
        <v>90498304.484999999</v>
      </c>
      <c r="C44" s="4">
        <v>84386546</v>
      </c>
      <c r="D44" s="4">
        <v>17935840.316</v>
      </c>
    </row>
    <row r="45" spans="1:4" x14ac:dyDescent="0.3">
      <c r="A45" s="2">
        <v>43708</v>
      </c>
      <c r="B45" s="4">
        <v>91652845.770999998</v>
      </c>
      <c r="C45" s="4">
        <v>89017129.150000006</v>
      </c>
      <c r="D45" s="4">
        <v>18279440.307999998</v>
      </c>
    </row>
    <row r="46" spans="1:4" x14ac:dyDescent="0.3">
      <c r="A46" s="2">
        <v>43738</v>
      </c>
      <c r="B46" s="4">
        <v>91661078.133000001</v>
      </c>
      <c r="C46" s="4">
        <v>86356681.247999996</v>
      </c>
      <c r="D46" s="4">
        <v>18019713.011</v>
      </c>
    </row>
    <row r="47" spans="1:4" x14ac:dyDescent="0.3">
      <c r="A47" s="2">
        <v>43769</v>
      </c>
      <c r="B47" s="4">
        <v>94081616.554000005</v>
      </c>
      <c r="C47" s="4">
        <v>87947491.548999995</v>
      </c>
      <c r="D47" s="4">
        <v>18295307.285999998</v>
      </c>
    </row>
    <row r="48" spans="1:4" x14ac:dyDescent="0.3">
      <c r="A48" s="2">
        <v>43799</v>
      </c>
      <c r="B48" s="4">
        <v>94531988.766000003</v>
      </c>
      <c r="C48" s="4">
        <v>89060044.974000007</v>
      </c>
      <c r="D48" s="4">
        <v>18589548.590999998</v>
      </c>
    </row>
    <row r="49" spans="1:4" x14ac:dyDescent="0.3">
      <c r="A49" s="2">
        <v>43830</v>
      </c>
      <c r="B49" s="4">
        <v>94218769.515000001</v>
      </c>
      <c r="C49" s="4">
        <v>88766841.173999995</v>
      </c>
      <c r="D49" s="4">
        <v>18833241.044</v>
      </c>
    </row>
    <row r="50" spans="1:4" x14ac:dyDescent="0.3">
      <c r="A50" s="2">
        <v>43861</v>
      </c>
      <c r="B50" s="4">
        <v>93695602.963</v>
      </c>
      <c r="C50" s="4">
        <v>88660004.740999997</v>
      </c>
      <c r="D50" s="4">
        <v>19241248.07</v>
      </c>
    </row>
    <row r="51" spans="1:4" x14ac:dyDescent="0.3">
      <c r="A51" s="2">
        <v>43890</v>
      </c>
      <c r="B51" s="4">
        <v>95170743.437000006</v>
      </c>
      <c r="C51" s="4">
        <v>91109956.333000004</v>
      </c>
      <c r="D51" s="4">
        <v>19464523.331</v>
      </c>
    </row>
    <row r="52" spans="1:4" x14ac:dyDescent="0.3">
      <c r="A52" s="2">
        <v>43921</v>
      </c>
      <c r="B52" s="4">
        <v>99031244.620000005</v>
      </c>
      <c r="C52" s="4">
        <v>96601315.864999995</v>
      </c>
      <c r="D52" s="4">
        <v>19166260.984999999</v>
      </c>
    </row>
    <row r="53" spans="1:4" x14ac:dyDescent="0.3">
      <c r="A53" s="2">
        <v>43951</v>
      </c>
      <c r="B53" s="4">
        <v>100066793.93700001</v>
      </c>
      <c r="C53" s="4">
        <v>97403184.974000007</v>
      </c>
      <c r="D53" s="4">
        <v>18086912.039999999</v>
      </c>
    </row>
    <row r="54" spans="1:4" x14ac:dyDescent="0.3">
      <c r="A54" s="2">
        <v>43982</v>
      </c>
      <c r="B54" s="4">
        <v>111524376.46699999</v>
      </c>
      <c r="C54" s="4">
        <v>106511748.17399999</v>
      </c>
      <c r="D54" s="4">
        <v>18292751.818999998</v>
      </c>
    </row>
    <row r="55" spans="1:4" x14ac:dyDescent="0.3">
      <c r="A55" s="2">
        <v>44012</v>
      </c>
      <c r="B55" s="4">
        <v>110028934.654</v>
      </c>
      <c r="C55" s="4">
        <v>104473778.867</v>
      </c>
      <c r="D55" s="4">
        <v>18304180.943</v>
      </c>
    </row>
    <row r="56" spans="1:4" x14ac:dyDescent="0.3">
      <c r="A56" s="2">
        <v>44043</v>
      </c>
      <c r="B56" s="4">
        <v>109957970.73100001</v>
      </c>
      <c r="C56" s="4">
        <v>108680711.766</v>
      </c>
      <c r="D56" s="4">
        <v>18434420.248</v>
      </c>
    </row>
    <row r="57" spans="1:4" x14ac:dyDescent="0.3">
      <c r="A57" s="2">
        <v>44074</v>
      </c>
      <c r="B57" s="4">
        <v>111596786.992</v>
      </c>
      <c r="C57" s="4">
        <v>110435312.98100001</v>
      </c>
      <c r="D57" s="4">
        <v>18433819.984999999</v>
      </c>
    </row>
    <row r="58" spans="1:4" x14ac:dyDescent="0.3">
      <c r="A58" s="2">
        <v>44104</v>
      </c>
      <c r="B58" s="4">
        <v>111827810.392</v>
      </c>
      <c r="C58" s="4">
        <v>112094928.87100001</v>
      </c>
      <c r="D58" s="4">
        <v>18343565.682999998</v>
      </c>
    </row>
    <row r="59" spans="1:4" x14ac:dyDescent="0.3">
      <c r="A59" s="2">
        <v>44135</v>
      </c>
      <c r="B59" s="4">
        <v>112093108.34900001</v>
      </c>
      <c r="C59" s="4">
        <v>112150448.545</v>
      </c>
      <c r="D59" s="4">
        <v>18417802.750999998</v>
      </c>
    </row>
    <row r="60" spans="1:4" x14ac:dyDescent="0.3">
      <c r="A60" s="2">
        <v>44165</v>
      </c>
      <c r="B60" s="4">
        <v>112321529.46799999</v>
      </c>
      <c r="C60" s="4">
        <v>114233552.499</v>
      </c>
      <c r="D60" s="4">
        <v>18575568.938000001</v>
      </c>
    </row>
    <row r="61" spans="1:4" x14ac:dyDescent="0.3">
      <c r="A61" s="2">
        <v>44196</v>
      </c>
      <c r="B61" s="4">
        <v>112142201.198</v>
      </c>
      <c r="C61" s="4">
        <v>116199136.15099999</v>
      </c>
      <c r="D61" s="4">
        <v>18757612.855999999</v>
      </c>
    </row>
    <row r="62" spans="1:4" x14ac:dyDescent="0.3">
      <c r="A62" s="2">
        <v>44227</v>
      </c>
      <c r="B62" s="4">
        <v>111240228.595</v>
      </c>
      <c r="C62" s="4">
        <v>117130031.867</v>
      </c>
      <c r="D62" s="4">
        <v>18816244.526000001</v>
      </c>
    </row>
    <row r="63" spans="1:4" x14ac:dyDescent="0.3">
      <c r="A63" s="2">
        <v>44255</v>
      </c>
      <c r="B63" s="4">
        <v>110750958.042</v>
      </c>
      <c r="C63" s="4">
        <v>121174206.465</v>
      </c>
      <c r="D63" s="4">
        <v>18669440.857999999</v>
      </c>
    </row>
    <row r="64" spans="1:4" x14ac:dyDescent="0.3">
      <c r="A64" s="2">
        <v>44286</v>
      </c>
      <c r="B64" s="4">
        <v>110971754.62100001</v>
      </c>
      <c r="C64" s="4">
        <v>122471508.802</v>
      </c>
      <c r="D64" s="4">
        <v>18142584.116</v>
      </c>
    </row>
    <row r="65" spans="1:4" x14ac:dyDescent="0.3">
      <c r="A65" s="2">
        <v>44316</v>
      </c>
      <c r="B65" s="4">
        <v>112018381.814</v>
      </c>
      <c r="C65" s="4">
        <v>121815660.88699999</v>
      </c>
      <c r="D65" s="4">
        <v>18225290.381000001</v>
      </c>
    </row>
    <row r="66" spans="1:4" x14ac:dyDescent="0.3">
      <c r="A66" s="2">
        <v>44347</v>
      </c>
      <c r="B66" s="4">
        <v>113985851.617</v>
      </c>
      <c r="C66" s="4">
        <v>120213919.257</v>
      </c>
      <c r="D66" s="4">
        <v>18670514.986000001</v>
      </c>
    </row>
    <row r="67" spans="1:4" x14ac:dyDescent="0.3">
      <c r="A67" s="2">
        <v>44377</v>
      </c>
      <c r="B67" s="4">
        <v>116625151.589</v>
      </c>
      <c r="C67" s="4">
        <v>119101557.78200001</v>
      </c>
      <c r="D67" s="4">
        <v>18787785.193</v>
      </c>
    </row>
    <row r="68" spans="1:4" x14ac:dyDescent="0.3">
      <c r="A68" s="2">
        <v>44408</v>
      </c>
      <c r="B68" s="4">
        <v>119730234.376</v>
      </c>
      <c r="C68" s="4">
        <v>120309769.824</v>
      </c>
      <c r="D68" s="4">
        <v>18908027.181000002</v>
      </c>
    </row>
    <row r="69" spans="1:4" x14ac:dyDescent="0.3">
      <c r="A69" s="2">
        <v>44439</v>
      </c>
      <c r="B69" s="4">
        <v>119607657.184</v>
      </c>
      <c r="C69" s="4">
        <v>123577288.67299999</v>
      </c>
      <c r="D69" s="4">
        <v>19064557.248</v>
      </c>
    </row>
    <row r="70" spans="1:4" x14ac:dyDescent="0.3">
      <c r="A70" s="2">
        <v>44469</v>
      </c>
      <c r="B70" s="4">
        <v>119423758.64300001</v>
      </c>
      <c r="C70" s="4">
        <v>120029149.398</v>
      </c>
      <c r="D70" s="4">
        <v>19173221.66</v>
      </c>
    </row>
    <row r="71" spans="1:4" x14ac:dyDescent="0.3">
      <c r="A71" s="2">
        <v>44500</v>
      </c>
      <c r="B71" s="4">
        <v>118390781.256</v>
      </c>
      <c r="C71" s="4">
        <v>118059484.671</v>
      </c>
      <c r="D71" s="4">
        <v>19581318.842999998</v>
      </c>
    </row>
    <row r="72" spans="1:4" x14ac:dyDescent="0.3">
      <c r="A72" s="2">
        <v>44530</v>
      </c>
      <c r="B72" s="4">
        <v>119019353.899</v>
      </c>
      <c r="C72" s="4">
        <v>118379017.479</v>
      </c>
      <c r="D72" s="4">
        <v>19907422.807</v>
      </c>
    </row>
    <row r="73" spans="1:4" x14ac:dyDescent="0.3">
      <c r="A73" s="2">
        <v>44561</v>
      </c>
      <c r="B73" s="4">
        <v>120871401.391</v>
      </c>
      <c r="C73" s="4">
        <v>118248597.03</v>
      </c>
      <c r="D73" s="4">
        <v>20288091.199000001</v>
      </c>
    </row>
    <row r="74" spans="1:4" x14ac:dyDescent="0.3">
      <c r="A74" s="2">
        <v>44592</v>
      </c>
      <c r="B74" s="4">
        <v>118937788.976</v>
      </c>
      <c r="C74" s="4">
        <v>116761201.795</v>
      </c>
      <c r="D74" s="4">
        <v>20533045.578000002</v>
      </c>
    </row>
    <row r="75" spans="1:4" x14ac:dyDescent="0.3">
      <c r="A75" s="2">
        <v>44620</v>
      </c>
      <c r="B75" s="4">
        <v>117437241.743</v>
      </c>
      <c r="C75" s="4">
        <v>118796071.26199999</v>
      </c>
      <c r="D75" s="4">
        <v>20848685.712000001</v>
      </c>
    </row>
    <row r="76" spans="1:4" x14ac:dyDescent="0.3">
      <c r="A76" s="2">
        <v>44651</v>
      </c>
      <c r="B76" s="4">
        <v>118662966.723</v>
      </c>
      <c r="C76" s="4">
        <v>117315429.92900001</v>
      </c>
      <c r="D76" s="4">
        <v>19758429.364</v>
      </c>
    </row>
    <row r="77" spans="1:4" x14ac:dyDescent="0.3">
      <c r="A77" s="2">
        <v>44681</v>
      </c>
      <c r="B77" s="4">
        <v>119489873.77599999</v>
      </c>
      <c r="C77" s="4">
        <v>115539157.572</v>
      </c>
      <c r="D77" s="4">
        <v>19762922.997000001</v>
      </c>
    </row>
    <row r="78" spans="1:4" x14ac:dyDescent="0.3">
      <c r="A78" s="2">
        <v>44712</v>
      </c>
      <c r="B78" s="4">
        <v>119104939.457</v>
      </c>
      <c r="C78" s="4">
        <v>114786244.43700001</v>
      </c>
      <c r="D78" s="4">
        <v>20151189.846999999</v>
      </c>
    </row>
    <row r="79" spans="1:4" x14ac:dyDescent="0.3">
      <c r="A79" s="2">
        <v>44742</v>
      </c>
      <c r="B79" s="4">
        <v>123105397.984</v>
      </c>
      <c r="C79" s="4">
        <v>116876127.43799999</v>
      </c>
      <c r="D79" s="4">
        <v>20412523.409000002</v>
      </c>
    </row>
    <row r="80" spans="1:4" x14ac:dyDescent="0.3">
      <c r="A80" s="2">
        <v>44773</v>
      </c>
      <c r="B80" s="4">
        <v>125118210.45999999</v>
      </c>
      <c r="C80" s="4">
        <v>119653589.91</v>
      </c>
      <c r="D80" s="4">
        <v>20767534.699999999</v>
      </c>
    </row>
    <row r="81" spans="1:4" x14ac:dyDescent="0.3">
      <c r="A81" s="2">
        <v>44804</v>
      </c>
      <c r="B81" s="4">
        <v>123502071.97</v>
      </c>
      <c r="C81" s="4">
        <v>122172245.719</v>
      </c>
      <c r="D81" s="4">
        <v>21270976.008000001</v>
      </c>
    </row>
    <row r="82" spans="1:4" x14ac:dyDescent="0.3">
      <c r="A82" s="2">
        <v>44834</v>
      </c>
      <c r="B82" s="4">
        <v>123663451.63</v>
      </c>
      <c r="C82" s="4">
        <v>121706348.053</v>
      </c>
      <c r="D82" s="4">
        <v>21516397.396000002</v>
      </c>
    </row>
    <row r="83" spans="1:4" x14ac:dyDescent="0.3">
      <c r="A83" s="2">
        <v>44865</v>
      </c>
      <c r="B83" s="4">
        <v>123968363.425</v>
      </c>
      <c r="C83" s="4">
        <v>121743708.78399999</v>
      </c>
      <c r="D83" s="4">
        <v>21125545.973999999</v>
      </c>
    </row>
    <row r="84" spans="1:4" x14ac:dyDescent="0.3">
      <c r="A84" s="2">
        <v>44895</v>
      </c>
      <c r="B84" s="4">
        <v>122202235.199</v>
      </c>
      <c r="C84" s="4">
        <v>118056595.961</v>
      </c>
      <c r="D84" s="4">
        <v>21680163.539000001</v>
      </c>
    </row>
    <row r="85" spans="1:4" x14ac:dyDescent="0.3">
      <c r="A85" s="2">
        <v>44926</v>
      </c>
      <c r="B85" s="4">
        <v>121387257.617</v>
      </c>
      <c r="C85" s="4">
        <v>118041662.728</v>
      </c>
      <c r="D85" s="4">
        <v>22000869.259</v>
      </c>
    </row>
    <row r="86" spans="1:4" x14ac:dyDescent="0.3">
      <c r="A86" s="2">
        <v>44957</v>
      </c>
      <c r="B86" s="4">
        <v>120617047.524</v>
      </c>
      <c r="C86" s="4">
        <v>118956715.469</v>
      </c>
      <c r="D86" s="4">
        <v>22483170.248</v>
      </c>
    </row>
    <row r="87" spans="1:4" x14ac:dyDescent="0.3">
      <c r="A87" s="2">
        <v>44985</v>
      </c>
      <c r="B87" s="4">
        <v>118671474.33</v>
      </c>
      <c r="C87" s="4">
        <v>119189240.476</v>
      </c>
      <c r="D87" s="4">
        <v>22836230.366</v>
      </c>
    </row>
    <row r="88" spans="1:4" x14ac:dyDescent="0.3">
      <c r="A88" s="2">
        <v>45016</v>
      </c>
      <c r="B88" s="4">
        <v>117350999.833</v>
      </c>
      <c r="C88" s="4">
        <v>120227599.08400001</v>
      </c>
      <c r="D88" s="4">
        <v>20741350.745999999</v>
      </c>
    </row>
    <row r="89" spans="1:4" x14ac:dyDescent="0.3">
      <c r="A89" s="2">
        <v>45046</v>
      </c>
      <c r="B89" s="4">
        <v>117301923.051</v>
      </c>
      <c r="C89" s="4">
        <v>115945355.296</v>
      </c>
      <c r="D89" s="4">
        <v>21134442.190000001</v>
      </c>
    </row>
    <row r="90" spans="1:4" x14ac:dyDescent="0.3">
      <c r="A90" s="2">
        <v>45077</v>
      </c>
      <c r="B90" s="4">
        <v>116629245.559</v>
      </c>
      <c r="C90" s="4">
        <v>119859326.78200001</v>
      </c>
      <c r="D90" s="4">
        <v>21667962.756000001</v>
      </c>
    </row>
    <row r="91" spans="1:4" x14ac:dyDescent="0.3">
      <c r="A91" s="2">
        <v>45107</v>
      </c>
      <c r="B91" s="4">
        <v>115402118.36300001</v>
      </c>
      <c r="C91" s="4">
        <v>115539741.206</v>
      </c>
      <c r="D91" s="4">
        <v>22228466.999000002</v>
      </c>
    </row>
    <row r="92" spans="1:4" x14ac:dyDescent="0.3">
      <c r="A92" s="2">
        <v>45138</v>
      </c>
      <c r="B92" s="4">
        <v>116265294.48</v>
      </c>
      <c r="C92" s="4">
        <v>117254323.684</v>
      </c>
      <c r="D92" s="4">
        <v>22646851.804000001</v>
      </c>
    </row>
    <row r="93" spans="1:4" x14ac:dyDescent="0.3">
      <c r="A93" s="2">
        <v>45169</v>
      </c>
      <c r="B93" s="4">
        <v>116000022.088</v>
      </c>
      <c r="C93" s="4">
        <v>116847734.98800001</v>
      </c>
      <c r="D93" s="4">
        <v>23045785.015000001</v>
      </c>
    </row>
    <row r="94" spans="1:4" x14ac:dyDescent="0.3">
      <c r="A94" s="2">
        <v>45199</v>
      </c>
      <c r="B94" s="4">
        <v>117151854.708</v>
      </c>
      <c r="C94" s="4">
        <v>118767860.66</v>
      </c>
      <c r="D94" s="4">
        <v>23253875.379000001</v>
      </c>
    </row>
    <row r="95" spans="1:4" x14ac:dyDescent="0.3">
      <c r="A95" s="2">
        <v>45230</v>
      </c>
      <c r="B95" s="4">
        <v>117279890.53</v>
      </c>
      <c r="C95" s="4">
        <v>118368623.043</v>
      </c>
      <c r="D95" s="4">
        <v>22906856.191</v>
      </c>
    </row>
    <row r="96" spans="1:4" x14ac:dyDescent="0.3">
      <c r="A96" s="2">
        <v>45260</v>
      </c>
      <c r="B96" s="4">
        <v>116896509.37199999</v>
      </c>
      <c r="C96" s="4">
        <v>116737367.331</v>
      </c>
      <c r="D96" s="4">
        <v>23569102.414000001</v>
      </c>
    </row>
    <row r="97" spans="1:4" x14ac:dyDescent="0.3">
      <c r="A97" s="2">
        <v>45291</v>
      </c>
      <c r="B97" s="4">
        <v>117454411.808</v>
      </c>
      <c r="C97" s="4">
        <v>119118260.862</v>
      </c>
      <c r="D97" s="4">
        <v>23974510.602000002</v>
      </c>
    </row>
    <row r="98" spans="1:4" x14ac:dyDescent="0.3">
      <c r="A98" s="2">
        <v>45322</v>
      </c>
      <c r="B98" s="4">
        <v>115530060.21699999</v>
      </c>
      <c r="C98" s="4">
        <v>120437101.45100001</v>
      </c>
      <c r="D98" s="4">
        <v>24536941.287</v>
      </c>
    </row>
    <row r="99" spans="1:4" x14ac:dyDescent="0.3">
      <c r="A99" s="2">
        <v>45351</v>
      </c>
      <c r="B99" s="4">
        <v>114826521.373</v>
      </c>
      <c r="C99" s="4">
        <v>119433807.05</v>
      </c>
      <c r="D99" s="4">
        <v>24875585.467999998</v>
      </c>
    </row>
    <row r="100" spans="1:4" x14ac:dyDescent="0.3">
      <c r="A100" s="2">
        <v>45382</v>
      </c>
      <c r="B100" s="4">
        <v>113363382.016</v>
      </c>
      <c r="C100" s="4">
        <v>119504251.883</v>
      </c>
      <c r="D100" s="4">
        <v>21185235.734999999</v>
      </c>
    </row>
    <row r="101" spans="1:4" x14ac:dyDescent="0.3">
      <c r="A101" s="2">
        <v>45412</v>
      </c>
      <c r="B101" s="4">
        <v>117241679.723</v>
      </c>
      <c r="C101" s="4">
        <v>119831536.654</v>
      </c>
      <c r="D101" s="4">
        <v>21578201.155999999</v>
      </c>
    </row>
    <row r="102" spans="1:4" x14ac:dyDescent="0.3">
      <c r="A102" s="2">
        <v>45443</v>
      </c>
      <c r="B102" s="4">
        <v>118321886.148</v>
      </c>
      <c r="C102" s="4">
        <v>125823839.111</v>
      </c>
      <c r="D102" s="4">
        <v>22072791.690000001</v>
      </c>
    </row>
    <row r="103" spans="1:4" x14ac:dyDescent="0.3">
      <c r="A103" s="2">
        <v>45473</v>
      </c>
      <c r="B103" s="4">
        <v>119146866.31299999</v>
      </c>
      <c r="C103" s="4">
        <v>123566501.286</v>
      </c>
      <c r="D103" s="4">
        <v>22531682.149</v>
      </c>
    </row>
    <row r="104" spans="1:4" x14ac:dyDescent="0.3">
      <c r="A104" s="2">
        <v>45504</v>
      </c>
      <c r="B104" s="4">
        <v>116503047.82799999</v>
      </c>
      <c r="C104" s="4">
        <v>124605341.965</v>
      </c>
      <c r="D104" s="4">
        <v>23103221.592999998</v>
      </c>
    </row>
    <row r="105" spans="1:4" x14ac:dyDescent="0.3">
      <c r="A105" s="2">
        <v>45535</v>
      </c>
      <c r="B105" s="4">
        <v>116155290.374</v>
      </c>
      <c r="C105" s="4">
        <v>126753415.104</v>
      </c>
      <c r="D105" s="4">
        <v>23786919.734999999</v>
      </c>
    </row>
    <row r="106" spans="1:4" x14ac:dyDescent="0.3">
      <c r="A106" s="2">
        <v>45565</v>
      </c>
      <c r="B106" s="4">
        <v>116046451.78399999</v>
      </c>
      <c r="C106" s="4">
        <v>126755640.243</v>
      </c>
      <c r="D106" s="4">
        <v>24383618.767999999</v>
      </c>
    </row>
    <row r="107" spans="1:4" x14ac:dyDescent="0.3">
      <c r="A107" s="2">
        <v>45596</v>
      </c>
      <c r="B107" s="4">
        <v>116836696.25399999</v>
      </c>
      <c r="C107" s="4">
        <v>128958420.005</v>
      </c>
      <c r="D107" s="4">
        <v>24078607.168000001</v>
      </c>
    </row>
    <row r="108" spans="1:4" x14ac:dyDescent="0.3">
      <c r="A108" s="2">
        <v>45626</v>
      </c>
      <c r="B108" s="4">
        <v>118362055.68799999</v>
      </c>
      <c r="C108" s="4">
        <v>129762815.01800001</v>
      </c>
      <c r="D108" s="4">
        <v>24541051.431000002</v>
      </c>
    </row>
    <row r="109" spans="1:4" x14ac:dyDescent="0.3">
      <c r="A109" s="2">
        <v>45657</v>
      </c>
      <c r="B109" s="4">
        <v>118538759.118</v>
      </c>
      <c r="C109" s="4">
        <v>132876375.52</v>
      </c>
      <c r="D109" s="4">
        <v>24967057.82</v>
      </c>
    </row>
    <row r="110" spans="1:4" x14ac:dyDescent="0.3">
      <c r="A110" s="2">
        <v>45688</v>
      </c>
      <c r="B110" s="4">
        <v>118136212.704</v>
      </c>
      <c r="C110" s="4">
        <v>132288779.096</v>
      </c>
      <c r="D110" s="4">
        <v>25597157.761999998</v>
      </c>
    </row>
    <row r="111" spans="1:4" x14ac:dyDescent="0.3">
      <c r="A111" s="2">
        <v>45716</v>
      </c>
      <c r="B111" s="4">
        <v>119379072.09199999</v>
      </c>
      <c r="C111" s="4">
        <v>132781340.51899999</v>
      </c>
      <c r="D111" s="4">
        <v>26196210.289999999</v>
      </c>
    </row>
    <row r="112" spans="1:4" x14ac:dyDescent="0.3">
      <c r="A112" s="2">
        <v>45747</v>
      </c>
      <c r="B112" s="4">
        <v>117477731.869</v>
      </c>
      <c r="C112" s="4">
        <v>131132462.301</v>
      </c>
      <c r="D112" s="4">
        <v>21877324.291999999</v>
      </c>
    </row>
    <row r="113" spans="1:4" x14ac:dyDescent="0.3">
      <c r="A113" s="2">
        <v>45777</v>
      </c>
      <c r="B113" s="4">
        <v>119596781.40700001</v>
      </c>
      <c r="C113" s="4">
        <v>130960364.59100001</v>
      </c>
      <c r="D113" s="4">
        <v>22435093.614</v>
      </c>
    </row>
    <row r="114" spans="1:4" x14ac:dyDescent="0.3">
      <c r="A114" s="2">
        <v>45808</v>
      </c>
      <c r="B114" s="4">
        <v>119858418.09100001</v>
      </c>
      <c r="C114" s="4">
        <v>135349173.22400001</v>
      </c>
      <c r="D114" s="4">
        <v>23049305.449999999</v>
      </c>
    </row>
    <row r="115" spans="1:4" x14ac:dyDescent="0.3">
      <c r="A115" s="2">
        <v>45838</v>
      </c>
      <c r="B115" s="4">
        <v>119201532.714</v>
      </c>
      <c r="C115" s="4">
        <v>131898168.538</v>
      </c>
      <c r="D115" s="4">
        <v>23743714.046999998</v>
      </c>
    </row>
    <row r="116" spans="1:4" x14ac:dyDescent="0.3">
      <c r="A116" s="2">
        <v>45869</v>
      </c>
      <c r="B116" s="4">
        <v>121422661.361</v>
      </c>
      <c r="C116" s="4">
        <v>134050111.323</v>
      </c>
      <c r="D116" s="4">
        <v>24321079.927999999</v>
      </c>
    </row>
    <row r="117" spans="1:4" x14ac:dyDescent="0.3">
      <c r="A117" s="2">
        <v>45900</v>
      </c>
      <c r="B117" s="4">
        <v>121846762.36499999</v>
      </c>
      <c r="C117" s="4">
        <v>132956334.561</v>
      </c>
      <c r="D117" s="4">
        <v>24923737.511</v>
      </c>
    </row>
    <row r="118" spans="1:4" x14ac:dyDescent="0.3">
      <c r="A118" s="2">
        <v>45930</v>
      </c>
      <c r="B118" s="4">
        <v>121298103.61499999</v>
      </c>
      <c r="C118" s="4">
        <v>132094660.523</v>
      </c>
      <c r="D118" s="4">
        <v>25578906.706999999</v>
      </c>
    </row>
    <row r="119" spans="1:4" x14ac:dyDescent="0.3">
      <c r="A119" s="2">
        <v>45961</v>
      </c>
      <c r="B119" s="4">
        <v>120975652.572</v>
      </c>
      <c r="C119" s="4">
        <v>132500582.862</v>
      </c>
      <c r="D119" s="4">
        <v>26143444.886</v>
      </c>
    </row>
    <row r="120" spans="1:4" x14ac:dyDescent="0.3">
      <c r="A120" s="2">
        <v>45991</v>
      </c>
      <c r="B120" s="4">
        <v>121000184.23999999</v>
      </c>
      <c r="C120" s="4">
        <v>135901780.42199999</v>
      </c>
      <c r="D120" s="4">
        <v>26760447.171</v>
      </c>
    </row>
    <row r="121" spans="1:4" x14ac:dyDescent="0.3">
      <c r="A121" s="2">
        <v>46022</v>
      </c>
      <c r="B121" s="4">
        <v>123642499.164</v>
      </c>
      <c r="C121" s="4">
        <v>142097899.32499999</v>
      </c>
      <c r="D121" s="4">
        <v>27317141.215999998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736F-9D7F-8842-BA3E-BE2D83CFC6B5}">
  <dimension ref="A1:X157"/>
  <sheetViews>
    <sheetView topLeftCell="A107" zoomScaleNormal="80" zoomScaleSheetLayoutView="100" workbookViewId="0">
      <selection activeCell="B122" sqref="B122:B157"/>
    </sheetView>
  </sheetViews>
  <sheetFormatPr baseColWidth="10" defaultColWidth="8.88671875" defaultRowHeight="14.4" x14ac:dyDescent="0.3"/>
  <cols>
    <col min="1" max="1" width="17.88671875" bestFit="1" customWidth="1"/>
    <col min="3" max="3" width="17.44140625" customWidth="1"/>
    <col min="4" max="10" width="14" bestFit="1" customWidth="1"/>
    <col min="11" max="11" width="22.5546875" bestFit="1" customWidth="1"/>
    <col min="12" max="12" width="14" bestFit="1" customWidth="1"/>
    <col min="13" max="13" width="12.5546875" bestFit="1" customWidth="1"/>
    <col min="14" max="17" width="15.44140625" bestFit="1" customWidth="1"/>
    <col min="18" max="20" width="16.44140625" bestFit="1" customWidth="1"/>
    <col min="21" max="23" width="15.44140625" bestFit="1" customWidth="1"/>
    <col min="24" max="24" width="13.6640625" bestFit="1" customWidth="1"/>
  </cols>
  <sheetData>
    <row r="1" spans="1:24" x14ac:dyDescent="0.3">
      <c r="A1" s="1" t="s">
        <v>0</v>
      </c>
      <c r="B1" t="s">
        <v>4</v>
      </c>
      <c r="C1" s="3" t="s">
        <v>12</v>
      </c>
      <c r="D1" t="s">
        <v>13</v>
      </c>
      <c r="E1" t="s">
        <v>9</v>
      </c>
      <c r="F1" t="s">
        <v>10</v>
      </c>
      <c r="G1" t="s">
        <v>11</v>
      </c>
      <c r="H1" t="s">
        <v>14</v>
      </c>
      <c r="I1" t="s">
        <v>15</v>
      </c>
      <c r="J1" t="s">
        <v>16</v>
      </c>
      <c r="K1" t="s">
        <v>17</v>
      </c>
    </row>
    <row r="2" spans="1:24" x14ac:dyDescent="0.3">
      <c r="A2" s="2">
        <v>42400</v>
      </c>
      <c r="B2">
        <v>1</v>
      </c>
      <c r="C2" s="4">
        <v>77065888.128999993</v>
      </c>
      <c r="D2">
        <f t="shared" ref="D2:D33" si="0">$N$2+$N$3*B2</f>
        <v>74719474.204795137</v>
      </c>
      <c r="H2">
        <v>-2283153.8805958247</v>
      </c>
      <c r="I2">
        <v>0</v>
      </c>
      <c r="J2" s="5">
        <f>C2-D2-H2-I2</f>
        <v>4629567.8048006808</v>
      </c>
      <c r="K2" s="5">
        <f>C2+H2+I2+J2</f>
        <v>79412302.053204849</v>
      </c>
      <c r="M2" t="s">
        <v>5</v>
      </c>
      <c r="N2">
        <f>INTERCEPT(C2:C121,B2:B121)</f>
        <v>74248114.487886786</v>
      </c>
    </row>
    <row r="3" spans="1:24" x14ac:dyDescent="0.3">
      <c r="A3" s="2">
        <v>42429</v>
      </c>
      <c r="B3">
        <v>2</v>
      </c>
      <c r="C3" s="4">
        <v>77234678.835999995</v>
      </c>
      <c r="D3">
        <f t="shared" si="0"/>
        <v>75190833.921703473</v>
      </c>
      <c r="E3">
        <f>AVERAGE(D2:D13)</f>
        <v>77311952.647791043</v>
      </c>
      <c r="H3">
        <v>-2985435.1465041689</v>
      </c>
      <c r="I3">
        <v>0</v>
      </c>
      <c r="J3" s="5">
        <f t="shared" ref="J3:J4" si="1">C3-D3-H3-I3</f>
        <v>5029280.0608006921</v>
      </c>
      <c r="K3" s="5">
        <f t="shared" ref="K3:K66" si="2">C3+H3+I3+J3</f>
        <v>79278523.750296518</v>
      </c>
      <c r="M3" t="s">
        <v>6</v>
      </c>
      <c r="N3">
        <f>SLOPE(C2:C121,B2:B121)</f>
        <v>471359.71690834424</v>
      </c>
    </row>
    <row r="4" spans="1:24" x14ac:dyDescent="0.3">
      <c r="A4" s="2">
        <v>42460</v>
      </c>
      <c r="B4">
        <v>3</v>
      </c>
      <c r="C4" s="4">
        <v>77206828.991999999</v>
      </c>
      <c r="D4">
        <f t="shared" si="0"/>
        <v>75662193.638611823</v>
      </c>
      <c r="E4">
        <f t="shared" ref="E4:E67" si="3">AVERAGE(D3:D14)</f>
        <v>77783312.364699379</v>
      </c>
      <c r="F4">
        <f>AVERAGE(E3:E4)</f>
        <v>77547632.506245211</v>
      </c>
      <c r="G4" s="5">
        <f>C4-F4</f>
        <v>-340803.51424521208</v>
      </c>
      <c r="H4">
        <v>-2137609.50429017</v>
      </c>
      <c r="I4">
        <v>0</v>
      </c>
      <c r="J4" s="5">
        <f t="shared" si="1"/>
        <v>3682244.8576783454</v>
      </c>
      <c r="K4" s="5">
        <f t="shared" si="2"/>
        <v>78751464.345388174</v>
      </c>
      <c r="M4" t="s">
        <v>7</v>
      </c>
      <c r="N4">
        <f>RSQ(C2:C121,B2:B121)</f>
        <v>0.84845894003158007</v>
      </c>
    </row>
    <row r="5" spans="1:24" x14ac:dyDescent="0.3">
      <c r="A5" s="2">
        <v>42490</v>
      </c>
      <c r="B5">
        <v>4</v>
      </c>
      <c r="C5" s="4">
        <v>76935343.510000005</v>
      </c>
      <c r="D5">
        <f t="shared" si="0"/>
        <v>76133553.355520159</v>
      </c>
      <c r="E5">
        <f t="shared" si="3"/>
        <v>78254672.081607714</v>
      </c>
      <c r="F5">
        <f t="shared" ref="F5:F68" si="4">AVERAGE(E4:E5)</f>
        <v>78018992.223153546</v>
      </c>
      <c r="G5" s="5">
        <f t="shared" ref="G5:G68" si="5">C5-F5</f>
        <v>-1083648.7131535411</v>
      </c>
      <c r="H5">
        <v>-1693542.6908651805</v>
      </c>
      <c r="I5">
        <v>0</v>
      </c>
      <c r="J5" s="5">
        <f t="shared" ref="J5:J19" si="6">C5-D5-H5-I5</f>
        <v>2495332.8453450268</v>
      </c>
      <c r="K5" s="5">
        <f t="shared" si="2"/>
        <v>77737133.664479852</v>
      </c>
    </row>
    <row r="6" spans="1:24" x14ac:dyDescent="0.3">
      <c r="A6" s="2">
        <v>42521</v>
      </c>
      <c r="B6">
        <v>5</v>
      </c>
      <c r="C6" s="4">
        <v>76902323.275000006</v>
      </c>
      <c r="D6">
        <f t="shared" si="0"/>
        <v>76604913.07242851</v>
      </c>
      <c r="E6">
        <f t="shared" si="3"/>
        <v>78726031.79851605</v>
      </c>
      <c r="F6">
        <f t="shared" si="4"/>
        <v>78490351.940061882</v>
      </c>
      <c r="G6" s="5">
        <f t="shared" si="5"/>
        <v>-1588028.6650618762</v>
      </c>
      <c r="H6">
        <v>-395038.88799574308</v>
      </c>
      <c r="I6">
        <v>0</v>
      </c>
      <c r="J6" s="5">
        <f t="shared" si="6"/>
        <v>692449.09056723944</v>
      </c>
      <c r="K6" s="5">
        <f t="shared" si="2"/>
        <v>77199733.477571502</v>
      </c>
      <c r="M6" t="s">
        <v>8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</row>
    <row r="7" spans="1:24" x14ac:dyDescent="0.3">
      <c r="A7" s="2">
        <v>42551</v>
      </c>
      <c r="B7">
        <v>6</v>
      </c>
      <c r="C7" s="4">
        <v>76478592.439999998</v>
      </c>
      <c r="D7">
        <f t="shared" si="0"/>
        <v>77076272.789336845</v>
      </c>
      <c r="E7">
        <f t="shared" si="3"/>
        <v>79197391.515424401</v>
      </c>
      <c r="F7">
        <f t="shared" si="4"/>
        <v>78961711.656970233</v>
      </c>
      <c r="G7" s="5">
        <f t="shared" si="5"/>
        <v>-2483119.2169702351</v>
      </c>
      <c r="H7">
        <v>-632738.88579297566</v>
      </c>
      <c r="I7">
        <v>0</v>
      </c>
      <c r="J7" s="5">
        <f t="shared" si="6"/>
        <v>35058.536456128</v>
      </c>
      <c r="K7" s="5">
        <f t="shared" si="2"/>
        <v>75880912.09066315</v>
      </c>
      <c r="M7">
        <v>1</v>
      </c>
      <c r="O7" s="5">
        <f t="shared" ref="O7:O18" si="7">G14</f>
        <v>-5135727.2013286352</v>
      </c>
      <c r="P7" s="5">
        <f t="shared" ref="P7:P18" si="8">G26</f>
        <v>-7365410.6332287639</v>
      </c>
      <c r="Q7" s="5">
        <f t="shared" ref="Q7:Q18" si="9">G38</f>
        <v>-5978362.1221289039</v>
      </c>
      <c r="R7" s="5">
        <f t="shared" ref="R7:R18" si="10">G50</f>
        <v>-5534576.5210290402</v>
      </c>
      <c r="S7" s="5">
        <f t="shared" ref="S7:S18" si="11">G62</f>
        <v>6353732.5080708265</v>
      </c>
      <c r="T7" s="5">
        <f t="shared" ref="T7:T18" si="12">G74</f>
        <v>8394976.2861707062</v>
      </c>
      <c r="U7" s="5">
        <f t="shared" ref="U7:U18" si="13">G86</f>
        <v>4417918.2312706113</v>
      </c>
      <c r="V7" s="5">
        <f t="shared" ref="V7:V18" si="14">G98</f>
        <v>-6325385.6786295474</v>
      </c>
      <c r="W7" s="5">
        <f>G110</f>
        <v>-9375549.7945296764</v>
      </c>
      <c r="X7">
        <f>AVERAGE(N7:W7)</f>
        <v>-2283153.8805958247</v>
      </c>
    </row>
    <row r="8" spans="1:24" x14ac:dyDescent="0.3">
      <c r="A8" s="2">
        <v>42582</v>
      </c>
      <c r="B8">
        <v>7</v>
      </c>
      <c r="C8" s="4">
        <v>76753885.857999995</v>
      </c>
      <c r="D8">
        <f t="shared" si="0"/>
        <v>77547632.506245196</v>
      </c>
      <c r="E8">
        <f t="shared" si="3"/>
        <v>79668751.232332751</v>
      </c>
      <c r="F8">
        <f t="shared" si="4"/>
        <v>79433071.373878568</v>
      </c>
      <c r="G8" s="5">
        <f t="shared" si="5"/>
        <v>-2679185.5158785731</v>
      </c>
      <c r="H8">
        <v>-346453.50636798638</v>
      </c>
      <c r="I8">
        <v>0</v>
      </c>
      <c r="J8" s="5">
        <f t="shared" si="6"/>
        <v>-447293.14187721413</v>
      </c>
      <c r="K8" s="5">
        <f t="shared" si="2"/>
        <v>75960139.209754795</v>
      </c>
      <c r="M8">
        <v>2</v>
      </c>
      <c r="O8" s="5">
        <f t="shared" si="7"/>
        <v>-5218376.3162369728</v>
      </c>
      <c r="P8" s="5">
        <f t="shared" si="8"/>
        <v>-7139373.0571371019</v>
      </c>
      <c r="Q8" s="5">
        <f t="shared" si="9"/>
        <v>-7693193.7130372375</v>
      </c>
      <c r="R8" s="5">
        <f t="shared" si="10"/>
        <v>-4530795.7639373839</v>
      </c>
      <c r="S8" s="5">
        <f t="shared" si="11"/>
        <v>5393102.2381624728</v>
      </c>
      <c r="T8" s="5">
        <f t="shared" si="12"/>
        <v>6423069.3362623453</v>
      </c>
      <c r="U8" s="5">
        <f t="shared" si="13"/>
        <v>2000985.320362255</v>
      </c>
      <c r="V8" s="5">
        <f t="shared" si="14"/>
        <v>-7500284.2395378798</v>
      </c>
      <c r="W8" s="5">
        <f>G111</f>
        <v>-8604050.1234380156</v>
      </c>
      <c r="X8">
        <f t="shared" ref="X8:X18" si="15">AVERAGE(N8:W8)</f>
        <v>-2985435.1465041689</v>
      </c>
    </row>
    <row r="9" spans="1:24" x14ac:dyDescent="0.3">
      <c r="A9" s="2">
        <v>42613</v>
      </c>
      <c r="B9">
        <v>8</v>
      </c>
      <c r="C9" s="4">
        <v>77037734.658999994</v>
      </c>
      <c r="D9">
        <f t="shared" si="0"/>
        <v>78018992.223153546</v>
      </c>
      <c r="E9">
        <f t="shared" si="3"/>
        <v>80140110.949241087</v>
      </c>
      <c r="F9">
        <f t="shared" si="4"/>
        <v>79904431.090786919</v>
      </c>
      <c r="G9" s="5">
        <f t="shared" si="5"/>
        <v>-2866696.4317869246</v>
      </c>
      <c r="H9">
        <v>-675103.89694299968</v>
      </c>
      <c r="I9">
        <v>0</v>
      </c>
      <c r="J9" s="5">
        <f t="shared" si="6"/>
        <v>-306153.66721055238</v>
      </c>
      <c r="K9" s="5">
        <f t="shared" si="2"/>
        <v>76056477.094846442</v>
      </c>
      <c r="M9">
        <v>3</v>
      </c>
      <c r="N9" s="5">
        <f t="shared" ref="N9:N18" si="16">G4</f>
        <v>-340803.51424521208</v>
      </c>
      <c r="O9" s="5">
        <f t="shared" si="7"/>
        <v>-7560391.0891453475</v>
      </c>
      <c r="P9" s="5">
        <f t="shared" si="8"/>
        <v>-7413826.8160454631</v>
      </c>
      <c r="Q9" s="5">
        <f t="shared" si="9"/>
        <v>-5876151.3139455765</v>
      </c>
      <c r="R9" s="5">
        <f t="shared" si="10"/>
        <v>-1141654.2978457212</v>
      </c>
      <c r="S9" s="5">
        <f t="shared" si="11"/>
        <v>5142539.1002541333</v>
      </c>
      <c r="T9" s="5">
        <f t="shared" si="12"/>
        <v>7177434.5993539989</v>
      </c>
      <c r="U9" s="5">
        <f t="shared" si="13"/>
        <v>209151.10645388067</v>
      </c>
      <c r="V9" s="5">
        <f t="shared" si="14"/>
        <v>-9434783.3134462237</v>
      </c>
      <c r="W9" s="5"/>
      <c r="X9">
        <f t="shared" si="15"/>
        <v>-2137609.50429017</v>
      </c>
    </row>
    <row r="10" spans="1:24" x14ac:dyDescent="0.3">
      <c r="A10" s="2">
        <v>42643</v>
      </c>
      <c r="B10">
        <v>9</v>
      </c>
      <c r="C10" s="4">
        <v>77611834.141000003</v>
      </c>
      <c r="D10">
        <f t="shared" si="0"/>
        <v>78490351.940061882</v>
      </c>
      <c r="E10">
        <f t="shared" si="3"/>
        <v>80611470.666149423</v>
      </c>
      <c r="F10">
        <f t="shared" si="4"/>
        <v>80375790.807695255</v>
      </c>
      <c r="G10" s="5">
        <f t="shared" si="5"/>
        <v>-2763956.6666952521</v>
      </c>
      <c r="H10">
        <v>-905323.49262911745</v>
      </c>
      <c r="I10">
        <v>0</v>
      </c>
      <c r="J10" s="5">
        <f t="shared" si="6"/>
        <v>26805.693567237933</v>
      </c>
      <c r="K10" s="5">
        <f t="shared" si="2"/>
        <v>76733316.341938123</v>
      </c>
      <c r="M10">
        <v>4</v>
      </c>
      <c r="N10" s="5">
        <f t="shared" si="16"/>
        <v>-1083648.7131535411</v>
      </c>
      <c r="O10" s="5">
        <f t="shared" si="7"/>
        <v>-7073424.1000536829</v>
      </c>
      <c r="P10" s="5">
        <f t="shared" si="8"/>
        <v>-6803485.5399537981</v>
      </c>
      <c r="Q10" s="5">
        <f t="shared" si="9"/>
        <v>-6615518.9628539234</v>
      </c>
      <c r="R10" s="5">
        <f t="shared" si="10"/>
        <v>-577464.69775405526</v>
      </c>
      <c r="S10" s="5">
        <f t="shared" si="11"/>
        <v>5717806.5763457865</v>
      </c>
      <c r="T10" s="5">
        <f t="shared" si="12"/>
        <v>7532981.9354456514</v>
      </c>
      <c r="U10" s="5">
        <f t="shared" si="13"/>
        <v>-311285.39245449007</v>
      </c>
      <c r="V10" s="5">
        <f t="shared" si="14"/>
        <v>-6027845.3233545721</v>
      </c>
      <c r="W10" s="5"/>
      <c r="X10">
        <f t="shared" si="15"/>
        <v>-1693542.6908651805</v>
      </c>
    </row>
    <row r="11" spans="1:24" x14ac:dyDescent="0.3">
      <c r="A11" s="2">
        <v>42674</v>
      </c>
      <c r="B11">
        <v>10</v>
      </c>
      <c r="C11" s="4">
        <v>76686282.165000007</v>
      </c>
      <c r="D11">
        <f t="shared" si="0"/>
        <v>78961711.656970233</v>
      </c>
      <c r="E11">
        <f t="shared" si="3"/>
        <v>81082830.383057773</v>
      </c>
      <c r="F11">
        <f t="shared" si="4"/>
        <v>80847150.524603605</v>
      </c>
      <c r="G11" s="5">
        <f t="shared" si="5"/>
        <v>-4160868.3596035987</v>
      </c>
      <c r="H11">
        <v>-758915.08164857491</v>
      </c>
      <c r="I11">
        <v>0</v>
      </c>
      <c r="J11" s="5">
        <f t="shared" si="6"/>
        <v>-1516514.4103216513</v>
      </c>
      <c r="K11" s="5">
        <f t="shared" si="2"/>
        <v>74410852.67302978</v>
      </c>
      <c r="M11">
        <v>5</v>
      </c>
      <c r="N11" s="5">
        <f t="shared" si="16"/>
        <v>-1588028.6650618762</v>
      </c>
      <c r="O11" s="5">
        <f t="shared" si="7"/>
        <v>-7517105.8939620256</v>
      </c>
      <c r="P11" s="5">
        <f t="shared" si="8"/>
        <v>-6331475.8088621348</v>
      </c>
      <c r="Q11" s="5">
        <f t="shared" si="9"/>
        <v>-5543781.0847622603</v>
      </c>
      <c r="R11" s="5">
        <f t="shared" si="10"/>
        <v>10408758.115337595</v>
      </c>
      <c r="S11" s="5">
        <f t="shared" si="11"/>
        <v>7213916.6624374539</v>
      </c>
      <c r="T11" s="5">
        <f t="shared" si="12"/>
        <v>6676687.89953731</v>
      </c>
      <c r="U11" s="5">
        <f t="shared" si="13"/>
        <v>-1455322.6013628244</v>
      </c>
      <c r="V11" s="5">
        <f t="shared" si="14"/>
        <v>-5418998.6152629256</v>
      </c>
      <c r="W11" s="5"/>
      <c r="X11">
        <f t="shared" si="15"/>
        <v>-395038.88799574308</v>
      </c>
    </row>
    <row r="12" spans="1:24" x14ac:dyDescent="0.3">
      <c r="A12" s="2">
        <v>42704</v>
      </c>
      <c r="B12">
        <v>11</v>
      </c>
      <c r="C12" s="4">
        <v>77992908.772</v>
      </c>
      <c r="D12">
        <f t="shared" si="0"/>
        <v>79433071.373878568</v>
      </c>
      <c r="E12">
        <f t="shared" si="3"/>
        <v>81554190.099966124</v>
      </c>
      <c r="F12">
        <f t="shared" si="4"/>
        <v>81318510.241511941</v>
      </c>
      <c r="G12" s="5">
        <f t="shared" si="5"/>
        <v>-3325601.4695119411</v>
      </c>
      <c r="H12">
        <v>-762393.31466802955</v>
      </c>
      <c r="I12">
        <v>0</v>
      </c>
      <c r="J12" s="5">
        <f t="shared" si="6"/>
        <v>-677769.28721053898</v>
      </c>
      <c r="K12" s="5">
        <f t="shared" si="2"/>
        <v>76552746.170121431</v>
      </c>
      <c r="M12">
        <v>6</v>
      </c>
      <c r="N12" s="5">
        <f t="shared" si="16"/>
        <v>-2483119.2169702351</v>
      </c>
      <c r="O12" s="5">
        <f t="shared" si="7"/>
        <v>-9071984.4988703579</v>
      </c>
      <c r="P12" s="5">
        <f t="shared" si="8"/>
        <v>-7161726.6337704957</v>
      </c>
      <c r="Q12" s="5">
        <f t="shared" si="9"/>
        <v>-6788232.153670609</v>
      </c>
      <c r="R12" s="5">
        <f t="shared" si="10"/>
        <v>8441956.5854292661</v>
      </c>
      <c r="S12" s="5">
        <f t="shared" si="11"/>
        <v>9381856.917529121</v>
      </c>
      <c r="T12" s="5">
        <f t="shared" si="12"/>
        <v>10205786.709628969</v>
      </c>
      <c r="U12" s="5">
        <f t="shared" si="13"/>
        <v>-3153809.5142711699</v>
      </c>
      <c r="V12" s="5">
        <f t="shared" si="14"/>
        <v>-5065378.1671712697</v>
      </c>
      <c r="W12" s="5"/>
      <c r="X12">
        <f t="shared" si="15"/>
        <v>-632738.88579297566</v>
      </c>
    </row>
    <row r="13" spans="1:24" x14ac:dyDescent="0.3">
      <c r="A13" s="2">
        <v>42735</v>
      </c>
      <c r="B13">
        <v>12</v>
      </c>
      <c r="C13" s="4">
        <v>77995484.253000006</v>
      </c>
      <c r="D13">
        <f t="shared" si="0"/>
        <v>79904431.090786919</v>
      </c>
      <c r="E13">
        <f t="shared" si="3"/>
        <v>82025549.816874474</v>
      </c>
      <c r="F13">
        <f t="shared" si="4"/>
        <v>81789869.958420306</v>
      </c>
      <c r="G13" s="5">
        <f t="shared" si="5"/>
        <v>-3794385.7054203004</v>
      </c>
      <c r="H13">
        <v>-583887.93757637346</v>
      </c>
      <c r="I13">
        <v>0</v>
      </c>
      <c r="J13" s="5">
        <f t="shared" si="6"/>
        <v>-1325058.9002105393</v>
      </c>
      <c r="K13" s="5">
        <f t="shared" si="2"/>
        <v>76086537.415213093</v>
      </c>
      <c r="M13">
        <v>7</v>
      </c>
      <c r="N13" s="5">
        <f t="shared" si="16"/>
        <v>-2679185.5158785731</v>
      </c>
      <c r="O13" s="5">
        <f t="shared" si="7"/>
        <v>-8117973.276778698</v>
      </c>
      <c r="P13" s="5">
        <f t="shared" si="8"/>
        <v>-7137108.9856788516</v>
      </c>
      <c r="Q13" s="5">
        <f t="shared" si="9"/>
        <v>-5903716.6975789815</v>
      </c>
      <c r="R13" s="5">
        <f t="shared" si="10"/>
        <v>7899632.9455209225</v>
      </c>
      <c r="S13" s="5">
        <f t="shared" si="11"/>
        <v>12015579.987620786</v>
      </c>
      <c r="T13" s="5">
        <f t="shared" si="12"/>
        <v>11747239.46872063</v>
      </c>
      <c r="U13" s="5">
        <f t="shared" si="13"/>
        <v>-2761993.1141795069</v>
      </c>
      <c r="V13" s="5">
        <f t="shared" si="14"/>
        <v>-8180556.3690796047</v>
      </c>
      <c r="W13" s="5"/>
      <c r="X13">
        <f t="shared" si="15"/>
        <v>-346453.50636798638</v>
      </c>
    </row>
    <row r="14" spans="1:24" x14ac:dyDescent="0.3">
      <c r="A14" s="2">
        <v>42766</v>
      </c>
      <c r="B14">
        <v>13</v>
      </c>
      <c r="C14" s="4">
        <v>77125502.474000007</v>
      </c>
      <c r="D14">
        <f t="shared" si="0"/>
        <v>80375790.807695255</v>
      </c>
      <c r="E14">
        <f t="shared" si="3"/>
        <v>82496909.53378281</v>
      </c>
      <c r="F14">
        <f t="shared" si="4"/>
        <v>82261229.675328642</v>
      </c>
      <c r="G14" s="5">
        <f t="shared" si="5"/>
        <v>-5135727.2013286352</v>
      </c>
      <c r="H14">
        <v>-2283153.8805958247</v>
      </c>
      <c r="I14">
        <v>0</v>
      </c>
      <c r="J14" s="5">
        <f t="shared" si="6"/>
        <v>-967134.45309942309</v>
      </c>
      <c r="K14" s="5">
        <f t="shared" si="2"/>
        <v>73875214.140304759</v>
      </c>
      <c r="M14">
        <v>8</v>
      </c>
      <c r="N14" s="5">
        <f t="shared" si="16"/>
        <v>-2866696.4317869246</v>
      </c>
      <c r="O14" s="5">
        <f t="shared" si="7"/>
        <v>-9432188.8656870574</v>
      </c>
      <c r="P14" s="5">
        <f t="shared" si="8"/>
        <v>-6206689.7135871947</v>
      </c>
      <c r="Q14" s="5">
        <f t="shared" si="9"/>
        <v>-5220535.1284873188</v>
      </c>
      <c r="R14" s="5">
        <f t="shared" si="10"/>
        <v>9067089.4896125793</v>
      </c>
      <c r="S14" s="5">
        <f t="shared" si="11"/>
        <v>11421643.078712434</v>
      </c>
      <c r="T14" s="5">
        <f t="shared" si="12"/>
        <v>9659741.2618122995</v>
      </c>
      <c r="U14" s="5">
        <f t="shared" si="13"/>
        <v>-3498625.2230878472</v>
      </c>
      <c r="V14" s="5">
        <f t="shared" si="14"/>
        <v>-8999673.5399879664</v>
      </c>
      <c r="W14" s="5"/>
      <c r="X14">
        <f t="shared" si="15"/>
        <v>-675103.89694299968</v>
      </c>
    </row>
    <row r="15" spans="1:24" x14ac:dyDescent="0.3">
      <c r="A15" s="2">
        <v>42794</v>
      </c>
      <c r="B15">
        <v>14</v>
      </c>
      <c r="C15" s="4">
        <v>77514213.076000005</v>
      </c>
      <c r="D15">
        <f t="shared" si="0"/>
        <v>80847150.524603605</v>
      </c>
      <c r="E15">
        <f t="shared" si="3"/>
        <v>82968269.250691161</v>
      </c>
      <c r="F15">
        <f t="shared" si="4"/>
        <v>82732589.392236978</v>
      </c>
      <c r="G15" s="5">
        <f t="shared" si="5"/>
        <v>-5218376.3162369728</v>
      </c>
      <c r="H15">
        <v>-2985435.1465041689</v>
      </c>
      <c r="I15">
        <v>0</v>
      </c>
      <c r="J15" s="5">
        <f t="shared" si="6"/>
        <v>-347502.3020994314</v>
      </c>
      <c r="K15" s="5">
        <f t="shared" si="2"/>
        <v>74181275.627396405</v>
      </c>
      <c r="M15">
        <v>9</v>
      </c>
      <c r="N15" s="5">
        <f t="shared" si="16"/>
        <v>-2763956.6666952521</v>
      </c>
      <c r="O15" s="5">
        <f t="shared" si="7"/>
        <v>-9905096.0015953928</v>
      </c>
      <c r="P15" s="5">
        <f t="shared" si="8"/>
        <v>-6340071.3134955466</v>
      </c>
      <c r="Q15" s="5">
        <f t="shared" si="9"/>
        <v>-5683662.4833956808</v>
      </c>
      <c r="R15" s="5">
        <f t="shared" si="10"/>
        <v>8826753.1727042496</v>
      </c>
      <c r="S15" s="5">
        <f t="shared" si="11"/>
        <v>10766384.820804104</v>
      </c>
      <c r="T15" s="5">
        <f t="shared" si="12"/>
        <v>9349761.2049039602</v>
      </c>
      <c r="U15" s="5">
        <f t="shared" si="13"/>
        <v>-2818152.3199961782</v>
      </c>
      <c r="V15" s="5">
        <f t="shared" si="14"/>
        <v>-9579871.8468963206</v>
      </c>
      <c r="W15" s="5"/>
      <c r="X15">
        <f t="shared" si="15"/>
        <v>-905323.49262911745</v>
      </c>
    </row>
    <row r="16" spans="1:24" x14ac:dyDescent="0.3">
      <c r="A16" s="2">
        <v>42825</v>
      </c>
      <c r="B16">
        <v>15</v>
      </c>
      <c r="C16" s="4">
        <v>75643558.019999996</v>
      </c>
      <c r="D16">
        <f t="shared" si="0"/>
        <v>81318510.241511956</v>
      </c>
      <c r="E16">
        <f t="shared" si="3"/>
        <v>83439628.967599511</v>
      </c>
      <c r="F16">
        <f t="shared" si="4"/>
        <v>83203949.109145343</v>
      </c>
      <c r="G16" s="5">
        <f t="shared" si="5"/>
        <v>-7560391.0891453475</v>
      </c>
      <c r="H16">
        <v>-2137609.50429017</v>
      </c>
      <c r="I16">
        <v>0</v>
      </c>
      <c r="J16" s="5">
        <f t="shared" si="6"/>
        <v>-3537342.71722179</v>
      </c>
      <c r="K16" s="5">
        <f t="shared" si="2"/>
        <v>69968605.798488036</v>
      </c>
      <c r="M16">
        <v>10</v>
      </c>
      <c r="N16" s="5">
        <f t="shared" si="16"/>
        <v>-4160868.3596035987</v>
      </c>
      <c r="O16" s="5">
        <f t="shared" si="7"/>
        <v>-8420033.1235037446</v>
      </c>
      <c r="P16" s="5">
        <f t="shared" si="8"/>
        <v>-5158439.5764038861</v>
      </c>
      <c r="Q16" s="5">
        <f t="shared" si="9"/>
        <v>-3734483.7793040276</v>
      </c>
      <c r="R16" s="5">
        <f t="shared" si="10"/>
        <v>8620691.4127958864</v>
      </c>
      <c r="S16" s="5">
        <f t="shared" si="11"/>
        <v>9262047.7168957591</v>
      </c>
      <c r="T16" s="5">
        <f t="shared" si="12"/>
        <v>9183313.2829956263</v>
      </c>
      <c r="U16" s="5">
        <f t="shared" si="13"/>
        <v>-3161476.2149045169</v>
      </c>
      <c r="V16" s="5">
        <f t="shared" si="14"/>
        <v>-9260987.0938046724</v>
      </c>
      <c r="W16" s="5"/>
      <c r="X16">
        <f t="shared" si="15"/>
        <v>-758915.08164857491</v>
      </c>
    </row>
    <row r="17" spans="1:24" x14ac:dyDescent="0.3">
      <c r="A17" s="2">
        <v>42855</v>
      </c>
      <c r="B17">
        <v>16</v>
      </c>
      <c r="C17" s="4">
        <v>76601884.725999996</v>
      </c>
      <c r="D17">
        <f t="shared" si="0"/>
        <v>81789869.958420292</v>
      </c>
      <c r="E17">
        <f t="shared" si="3"/>
        <v>83910988.684507862</v>
      </c>
      <c r="F17">
        <f t="shared" si="4"/>
        <v>83675308.826053679</v>
      </c>
      <c r="G17" s="5">
        <f t="shared" si="5"/>
        <v>-7073424.1000536829</v>
      </c>
      <c r="H17">
        <v>-1693542.6908651805</v>
      </c>
      <c r="I17">
        <v>0</v>
      </c>
      <c r="J17" s="5">
        <f t="shared" si="6"/>
        <v>-3494442.541555115</v>
      </c>
      <c r="K17" s="5">
        <f t="shared" si="2"/>
        <v>71413899.493579701</v>
      </c>
      <c r="M17">
        <v>11</v>
      </c>
      <c r="N17" s="5">
        <f t="shared" si="16"/>
        <v>-3325601.4695119411</v>
      </c>
      <c r="O17" s="5">
        <f t="shared" si="7"/>
        <v>-7550724.981412068</v>
      </c>
      <c r="P17" s="5">
        <f t="shared" si="8"/>
        <v>-4749376.4283122271</v>
      </c>
      <c r="Q17" s="5">
        <f t="shared" si="9"/>
        <v>-3755471.2842123508</v>
      </c>
      <c r="R17" s="5">
        <f t="shared" si="10"/>
        <v>8377752.8148874938</v>
      </c>
      <c r="S17" s="5">
        <f t="shared" si="11"/>
        <v>9419260.6429874152</v>
      </c>
      <c r="T17" s="5">
        <f t="shared" si="12"/>
        <v>6945825.3400872797</v>
      </c>
      <c r="U17" s="5">
        <f t="shared" si="13"/>
        <v>-4016217.0898128599</v>
      </c>
      <c r="V17" s="5">
        <f t="shared" si="14"/>
        <v>-8206987.3767130077</v>
      </c>
      <c r="W17" s="5"/>
      <c r="X17">
        <f t="shared" si="15"/>
        <v>-762393.31466802955</v>
      </c>
    </row>
    <row r="18" spans="1:24" x14ac:dyDescent="0.3">
      <c r="A18" s="2">
        <v>42886</v>
      </c>
      <c r="B18">
        <v>17</v>
      </c>
      <c r="C18" s="4">
        <v>76629562.649000004</v>
      </c>
      <c r="D18">
        <f t="shared" si="0"/>
        <v>82261229.675328642</v>
      </c>
      <c r="E18">
        <f t="shared" si="3"/>
        <v>84382348.401416197</v>
      </c>
      <c r="F18">
        <f t="shared" si="4"/>
        <v>84146668.54296203</v>
      </c>
      <c r="G18" s="5">
        <f t="shared" si="5"/>
        <v>-7517105.8939620256</v>
      </c>
      <c r="H18">
        <v>-395038.88799574308</v>
      </c>
      <c r="I18">
        <v>0</v>
      </c>
      <c r="J18" s="5">
        <f t="shared" si="6"/>
        <v>-5236628.138332895</v>
      </c>
      <c r="K18" s="5">
        <f t="shared" si="2"/>
        <v>70997895.622671366</v>
      </c>
      <c r="M18">
        <v>12</v>
      </c>
      <c r="N18" s="5">
        <f t="shared" si="16"/>
        <v>-3794385.7054203004</v>
      </c>
      <c r="O18" s="5">
        <f t="shared" si="7"/>
        <v>-6581852.635320425</v>
      </c>
      <c r="P18" s="5">
        <f t="shared" si="8"/>
        <v>-2093886.098220557</v>
      </c>
      <c r="Q18" s="5">
        <f t="shared" si="9"/>
        <v>-4540050.2521206886</v>
      </c>
      <c r="R18" s="5">
        <f t="shared" si="10"/>
        <v>7727064.8279791623</v>
      </c>
      <c r="S18" s="5">
        <f t="shared" si="11"/>
        <v>10799948.418079048</v>
      </c>
      <c r="T18" s="5">
        <f t="shared" si="12"/>
        <v>5659488.0411789417</v>
      </c>
      <c r="U18" s="5">
        <f t="shared" si="13"/>
        <v>-3929674.3707212061</v>
      </c>
      <c r="V18" s="5">
        <f t="shared" si="14"/>
        <v>-8501643.6636213362</v>
      </c>
      <c r="W18" s="5"/>
      <c r="X18">
        <f t="shared" si="15"/>
        <v>-583887.93757637346</v>
      </c>
    </row>
    <row r="19" spans="1:24" x14ac:dyDescent="0.3">
      <c r="A19" s="2">
        <v>42916</v>
      </c>
      <c r="B19">
        <v>18</v>
      </c>
      <c r="C19" s="4">
        <v>75546043.761000007</v>
      </c>
      <c r="D19">
        <f t="shared" si="0"/>
        <v>82732589.392236978</v>
      </c>
      <c r="E19">
        <f t="shared" si="3"/>
        <v>84853708.118324533</v>
      </c>
      <c r="F19">
        <f t="shared" si="4"/>
        <v>84618028.259870365</v>
      </c>
      <c r="G19" s="5">
        <f t="shared" si="5"/>
        <v>-9071984.4988703579</v>
      </c>
      <c r="H19">
        <v>-632738.88579297566</v>
      </c>
      <c r="I19">
        <v>0</v>
      </c>
      <c r="J19" s="5">
        <f t="shared" si="6"/>
        <v>-6553806.7454439951</v>
      </c>
      <c r="K19" s="5">
        <f t="shared" si="2"/>
        <v>68359498.129763037</v>
      </c>
    </row>
    <row r="20" spans="1:24" x14ac:dyDescent="0.3">
      <c r="A20" s="2">
        <v>42947</v>
      </c>
      <c r="B20">
        <v>19</v>
      </c>
      <c r="C20" s="4">
        <v>76971414.700000003</v>
      </c>
      <c r="D20">
        <f t="shared" si="0"/>
        <v>83203949.109145328</v>
      </c>
      <c r="E20">
        <f>AVERAGE(D19:D30)</f>
        <v>85325067.835232869</v>
      </c>
      <c r="F20">
        <f t="shared" si="4"/>
        <v>85089387.976778701</v>
      </c>
      <c r="G20" s="5">
        <f t="shared" si="5"/>
        <v>-8117973.276778698</v>
      </c>
      <c r="H20">
        <v>-346453.50636798638</v>
      </c>
      <c r="I20">
        <v>0</v>
      </c>
      <c r="J20" s="5">
        <f>C20-D20-H20-I20</f>
        <v>-5886080.9027773393</v>
      </c>
      <c r="K20" s="5">
        <f>C20+H20+I20+J20</f>
        <v>70738880.290854678</v>
      </c>
    </row>
    <row r="21" spans="1:24" x14ac:dyDescent="0.3">
      <c r="A21" s="2">
        <v>42978</v>
      </c>
      <c r="B21">
        <v>20</v>
      </c>
      <c r="C21" s="4">
        <v>76128558.827999994</v>
      </c>
      <c r="D21">
        <f t="shared" si="0"/>
        <v>83675308.826053679</v>
      </c>
      <c r="E21">
        <f t="shared" si="3"/>
        <v>85796427.552141219</v>
      </c>
      <c r="F21">
        <f t="shared" si="4"/>
        <v>85560747.693687052</v>
      </c>
      <c r="G21" s="5">
        <f>C21-F21</f>
        <v>-9432188.8656870574</v>
      </c>
      <c r="H21">
        <v>-675103.89694299968</v>
      </c>
      <c r="I21">
        <v>0</v>
      </c>
      <c r="J21" s="5">
        <f t="shared" ref="J21:J34" si="17">C21-D21-H21-I21</f>
        <v>-6871646.1011106856</v>
      </c>
      <c r="K21" s="5">
        <f t="shared" si="2"/>
        <v>68581808.829946309</v>
      </c>
    </row>
    <row r="22" spans="1:24" x14ac:dyDescent="0.3">
      <c r="A22" s="2">
        <v>43008</v>
      </c>
      <c r="B22">
        <v>21</v>
      </c>
      <c r="C22" s="4">
        <v>76127011.408999994</v>
      </c>
      <c r="D22">
        <f t="shared" si="0"/>
        <v>84146668.542962015</v>
      </c>
      <c r="E22">
        <f t="shared" si="3"/>
        <v>86267787.26904957</v>
      </c>
      <c r="F22">
        <f t="shared" si="4"/>
        <v>86032107.410595387</v>
      </c>
      <c r="G22" s="5">
        <f t="shared" si="5"/>
        <v>-9905096.0015953928</v>
      </c>
      <c r="H22">
        <v>-905323.49262911745</v>
      </c>
      <c r="I22">
        <v>0</v>
      </c>
      <c r="J22" s="5">
        <f t="shared" si="17"/>
        <v>-7114333.6413329029</v>
      </c>
      <c r="K22" s="5">
        <f t="shared" si="2"/>
        <v>68107354.275037974</v>
      </c>
    </row>
    <row r="23" spans="1:24" x14ac:dyDescent="0.3">
      <c r="A23" s="2">
        <v>43039</v>
      </c>
      <c r="B23">
        <v>22</v>
      </c>
      <c r="C23" s="4">
        <v>78083434.003999993</v>
      </c>
      <c r="D23">
        <f t="shared" si="0"/>
        <v>84618028.259870365</v>
      </c>
      <c r="E23">
        <f t="shared" si="3"/>
        <v>86739146.985957906</v>
      </c>
      <c r="F23">
        <f t="shared" si="4"/>
        <v>86503467.127503738</v>
      </c>
      <c r="G23" s="5">
        <f t="shared" si="5"/>
        <v>-8420033.1235037446</v>
      </c>
      <c r="H23">
        <v>-758915.08164857491</v>
      </c>
      <c r="I23">
        <v>0</v>
      </c>
      <c r="J23" s="5">
        <f t="shared" si="17"/>
        <v>-5775679.1742217969</v>
      </c>
      <c r="K23" s="5">
        <f t="shared" si="2"/>
        <v>71548839.748129621</v>
      </c>
    </row>
    <row r="24" spans="1:24" x14ac:dyDescent="0.3">
      <c r="A24" s="2">
        <v>43069</v>
      </c>
      <c r="B24">
        <v>23</v>
      </c>
      <c r="C24" s="4">
        <v>79424101.863000005</v>
      </c>
      <c r="D24">
        <f t="shared" si="0"/>
        <v>85089387.976778701</v>
      </c>
      <c r="E24">
        <f t="shared" si="3"/>
        <v>87210506.702866241</v>
      </c>
      <c r="F24">
        <f t="shared" si="4"/>
        <v>86974826.844412073</v>
      </c>
      <c r="G24" s="5">
        <f t="shared" si="5"/>
        <v>-7550724.981412068</v>
      </c>
      <c r="H24">
        <v>-762393.31466802955</v>
      </c>
      <c r="I24">
        <v>0</v>
      </c>
      <c r="J24" s="5">
        <f t="shared" si="17"/>
        <v>-4902892.7991106659</v>
      </c>
      <c r="K24" s="5">
        <f t="shared" si="2"/>
        <v>73758815.74922131</v>
      </c>
    </row>
    <row r="25" spans="1:24" x14ac:dyDescent="0.3">
      <c r="A25" s="2">
        <v>43100</v>
      </c>
      <c r="B25">
        <v>24</v>
      </c>
      <c r="C25" s="4">
        <v>80864333.925999999</v>
      </c>
      <c r="D25">
        <f t="shared" si="0"/>
        <v>85560747.693687052</v>
      </c>
      <c r="E25">
        <f t="shared" si="3"/>
        <v>87681866.419774592</v>
      </c>
      <c r="F25">
        <f t="shared" si="4"/>
        <v>87446186.561320424</v>
      </c>
      <c r="G25" s="5">
        <f t="shared" si="5"/>
        <v>-6581852.635320425</v>
      </c>
      <c r="H25">
        <v>-583887.93757637346</v>
      </c>
      <c r="I25">
        <v>0</v>
      </c>
      <c r="J25" s="5">
        <f t="shared" si="17"/>
        <v>-4112525.8301106789</v>
      </c>
      <c r="K25" s="5">
        <f t="shared" si="2"/>
        <v>76167920.158312947</v>
      </c>
    </row>
    <row r="26" spans="1:24" x14ac:dyDescent="0.3">
      <c r="A26" s="2">
        <v>43131</v>
      </c>
      <c r="B26">
        <v>25</v>
      </c>
      <c r="C26" s="4">
        <v>80552135.644999996</v>
      </c>
      <c r="D26">
        <f t="shared" si="0"/>
        <v>86032107.410595387</v>
      </c>
      <c r="E26">
        <f t="shared" si="3"/>
        <v>88153226.136682928</v>
      </c>
      <c r="F26">
        <f t="shared" si="4"/>
        <v>87917546.27822876</v>
      </c>
      <c r="G26" s="5">
        <f t="shared" si="5"/>
        <v>-7365410.6332287639</v>
      </c>
      <c r="H26">
        <v>-2283153.8805958247</v>
      </c>
      <c r="I26">
        <v>0</v>
      </c>
      <c r="J26" s="5">
        <f t="shared" si="17"/>
        <v>-3196817.8849995667</v>
      </c>
      <c r="K26" s="5">
        <f t="shared" si="2"/>
        <v>75072163.879404604</v>
      </c>
    </row>
    <row r="27" spans="1:24" x14ac:dyDescent="0.3">
      <c r="A27" s="2">
        <v>43159</v>
      </c>
      <c r="B27">
        <v>26</v>
      </c>
      <c r="C27" s="4">
        <v>81249532.937999994</v>
      </c>
      <c r="D27">
        <f t="shared" si="0"/>
        <v>86503467.127503738</v>
      </c>
      <c r="E27">
        <f t="shared" si="3"/>
        <v>88624585.853591278</v>
      </c>
      <c r="F27">
        <f t="shared" si="4"/>
        <v>88388905.995137095</v>
      </c>
      <c r="G27" s="5">
        <f t="shared" si="5"/>
        <v>-7139373.0571371019</v>
      </c>
      <c r="H27">
        <v>-2985435.1465041689</v>
      </c>
      <c r="I27">
        <v>0</v>
      </c>
      <c r="J27" s="5">
        <f t="shared" si="17"/>
        <v>-2268499.0429995754</v>
      </c>
      <c r="K27" s="5">
        <f t="shared" si="2"/>
        <v>75995598.748496249</v>
      </c>
    </row>
    <row r="28" spans="1:24" x14ac:dyDescent="0.3">
      <c r="A28" s="2">
        <v>43190</v>
      </c>
      <c r="B28">
        <v>27</v>
      </c>
      <c r="C28" s="4">
        <v>81446438.895999998</v>
      </c>
      <c r="D28">
        <f t="shared" si="0"/>
        <v>86974826.844412088</v>
      </c>
      <c r="E28">
        <f t="shared" si="3"/>
        <v>89095945.570499629</v>
      </c>
      <c r="F28">
        <f t="shared" si="4"/>
        <v>88860265.712045461</v>
      </c>
      <c r="G28" s="5">
        <f t="shared" si="5"/>
        <v>-7413826.8160454631</v>
      </c>
      <c r="H28">
        <v>-2137609.50429017</v>
      </c>
      <c r="I28">
        <v>0</v>
      </c>
      <c r="J28" s="5">
        <f t="shared" si="17"/>
        <v>-3390778.4441219205</v>
      </c>
      <c r="K28" s="5">
        <f t="shared" si="2"/>
        <v>75918050.947587907</v>
      </c>
    </row>
    <row r="29" spans="1:24" x14ac:dyDescent="0.3">
      <c r="A29" s="2">
        <v>43220</v>
      </c>
      <c r="B29">
        <v>28</v>
      </c>
      <c r="C29" s="4">
        <v>82528139.888999999</v>
      </c>
      <c r="D29">
        <f t="shared" si="0"/>
        <v>87446186.561320424</v>
      </c>
      <c r="E29">
        <f t="shared" si="3"/>
        <v>89567305.28740795</v>
      </c>
      <c r="F29">
        <f t="shared" si="4"/>
        <v>89331625.428953797</v>
      </c>
      <c r="G29" s="5">
        <f t="shared" si="5"/>
        <v>-6803485.5399537981</v>
      </c>
      <c r="H29">
        <v>-1693542.6908651805</v>
      </c>
      <c r="I29">
        <v>0</v>
      </c>
      <c r="J29" s="5">
        <f t="shared" si="17"/>
        <v>-3224503.9814552451</v>
      </c>
      <c r="K29" s="5">
        <f t="shared" si="2"/>
        <v>77610093.216679573</v>
      </c>
    </row>
    <row r="30" spans="1:24" x14ac:dyDescent="0.3">
      <c r="A30" s="2">
        <v>43251</v>
      </c>
      <c r="B30">
        <v>29</v>
      </c>
      <c r="C30" s="4">
        <v>83471509.336999997</v>
      </c>
      <c r="D30">
        <f t="shared" si="0"/>
        <v>87917546.278228775</v>
      </c>
      <c r="E30">
        <f t="shared" si="3"/>
        <v>90038665.00431633</v>
      </c>
      <c r="F30">
        <f t="shared" si="4"/>
        <v>89802985.145862132</v>
      </c>
      <c r="G30" s="5">
        <f t="shared" si="5"/>
        <v>-6331475.8088621348</v>
      </c>
      <c r="H30">
        <v>-395038.88799574308</v>
      </c>
      <c r="I30">
        <v>0</v>
      </c>
      <c r="J30" s="5">
        <f t="shared" si="17"/>
        <v>-4050998.053233034</v>
      </c>
      <c r="K30" s="5">
        <f t="shared" si="2"/>
        <v>79025472.39577122</v>
      </c>
    </row>
    <row r="31" spans="1:24" x14ac:dyDescent="0.3">
      <c r="A31" s="2">
        <v>43281</v>
      </c>
      <c r="B31">
        <v>30</v>
      </c>
      <c r="C31" s="4">
        <v>83112618.229000002</v>
      </c>
      <c r="D31">
        <f t="shared" si="0"/>
        <v>88388905.99513711</v>
      </c>
      <c r="E31">
        <f t="shared" si="3"/>
        <v>90510024.721224681</v>
      </c>
      <c r="F31">
        <f t="shared" si="4"/>
        <v>90274344.862770498</v>
      </c>
      <c r="G31" s="5">
        <f t="shared" si="5"/>
        <v>-7161726.6337704957</v>
      </c>
      <c r="H31">
        <v>-632738.88579297566</v>
      </c>
      <c r="I31">
        <v>0</v>
      </c>
      <c r="J31" s="5">
        <f t="shared" si="17"/>
        <v>-4643548.8803441329</v>
      </c>
      <c r="K31" s="5">
        <f t="shared" si="2"/>
        <v>77836330.462862894</v>
      </c>
    </row>
    <row r="32" spans="1:24" x14ac:dyDescent="0.3">
      <c r="A32" s="2">
        <v>43312</v>
      </c>
      <c r="B32">
        <v>31</v>
      </c>
      <c r="C32" s="4">
        <v>83608595.593999997</v>
      </c>
      <c r="D32">
        <f t="shared" si="0"/>
        <v>88860265.712045461</v>
      </c>
      <c r="E32">
        <f t="shared" si="3"/>
        <v>90981384.438133016</v>
      </c>
      <c r="F32">
        <f t="shared" si="4"/>
        <v>90745704.579678848</v>
      </c>
      <c r="G32" s="5">
        <f t="shared" si="5"/>
        <v>-7137108.9856788516</v>
      </c>
      <c r="H32">
        <v>-346453.50636798638</v>
      </c>
      <c r="I32">
        <v>0</v>
      </c>
      <c r="J32" s="5">
        <f t="shared" si="17"/>
        <v>-4905216.6116774781</v>
      </c>
      <c r="K32" s="5">
        <f>C32+H32+I32+J32</f>
        <v>78356925.475954533</v>
      </c>
    </row>
    <row r="33" spans="1:11" x14ac:dyDescent="0.3">
      <c r="A33" s="2">
        <v>43343</v>
      </c>
      <c r="B33">
        <v>32</v>
      </c>
      <c r="C33" s="4">
        <v>85010374.583000004</v>
      </c>
      <c r="D33">
        <f t="shared" si="0"/>
        <v>89331625.428953797</v>
      </c>
      <c r="E33">
        <f t="shared" si="3"/>
        <v>91452744.155041382</v>
      </c>
      <c r="F33">
        <f t="shared" si="4"/>
        <v>91217064.296587199</v>
      </c>
      <c r="G33" s="5">
        <f t="shared" si="5"/>
        <v>-6206689.7135871947</v>
      </c>
      <c r="H33">
        <v>-675103.89694299968</v>
      </c>
      <c r="I33">
        <v>0</v>
      </c>
      <c r="J33" s="5">
        <f t="shared" si="17"/>
        <v>-3646146.9490107927</v>
      </c>
      <c r="K33" s="5">
        <f t="shared" si="2"/>
        <v>80689123.737046212</v>
      </c>
    </row>
    <row r="34" spans="1:11" x14ac:dyDescent="0.3">
      <c r="A34" s="2">
        <v>43373</v>
      </c>
      <c r="B34">
        <v>33</v>
      </c>
      <c r="C34" s="4">
        <v>85348352.700000003</v>
      </c>
      <c r="D34">
        <f t="shared" ref="D34:D65" si="18">$N$2+$N$3*B34</f>
        <v>89802985.145862147</v>
      </c>
      <c r="E34">
        <f t="shared" si="3"/>
        <v>91924103.871949717</v>
      </c>
      <c r="F34">
        <f t="shared" si="4"/>
        <v>91688424.01349555</v>
      </c>
      <c r="G34" s="5">
        <f t="shared" si="5"/>
        <v>-6340071.3134955466</v>
      </c>
      <c r="H34">
        <v>-905323.49262911745</v>
      </c>
      <c r="I34">
        <v>0</v>
      </c>
      <c r="J34" s="5">
        <f t="shared" si="17"/>
        <v>-3549308.9532330269</v>
      </c>
      <c r="K34" s="5">
        <f t="shared" si="2"/>
        <v>80893720.254137859</v>
      </c>
    </row>
    <row r="35" spans="1:11" x14ac:dyDescent="0.3">
      <c r="A35" s="2">
        <v>43404</v>
      </c>
      <c r="B35">
        <v>34</v>
      </c>
      <c r="C35" s="4">
        <v>87001344.153999999</v>
      </c>
      <c r="D35">
        <f t="shared" si="18"/>
        <v>90274344.862770498</v>
      </c>
      <c r="E35">
        <f t="shared" si="3"/>
        <v>92395463.588858053</v>
      </c>
      <c r="F35">
        <f t="shared" si="4"/>
        <v>92159783.730403885</v>
      </c>
      <c r="G35" s="5">
        <f t="shared" si="5"/>
        <v>-5158439.5764038861</v>
      </c>
      <c r="H35">
        <v>-758915.08164857491</v>
      </c>
      <c r="I35">
        <v>0</v>
      </c>
      <c r="J35" s="5">
        <f>C35-D35-H35-I35</f>
        <v>-2514085.6271219235</v>
      </c>
      <c r="K35" s="5">
        <f t="shared" si="2"/>
        <v>83728343.445229501</v>
      </c>
    </row>
    <row r="36" spans="1:11" x14ac:dyDescent="0.3">
      <c r="A36" s="2">
        <v>43434</v>
      </c>
      <c r="B36">
        <v>35</v>
      </c>
      <c r="C36" s="4">
        <v>87881767.018999994</v>
      </c>
      <c r="D36">
        <f t="shared" si="18"/>
        <v>90745704.579678833</v>
      </c>
      <c r="E36">
        <f>AVERAGE(D35:D46)</f>
        <v>92866823.305766389</v>
      </c>
      <c r="F36">
        <f t="shared" si="4"/>
        <v>92631143.447312221</v>
      </c>
      <c r="G36" s="5">
        <f t="shared" si="5"/>
        <v>-4749376.4283122271</v>
      </c>
      <c r="H36">
        <v>-762393.31466802955</v>
      </c>
      <c r="I36">
        <v>0</v>
      </c>
      <c r="J36" s="5">
        <f t="shared" ref="J36:J43" si="19">C36-D36-H36-I36</f>
        <v>-2101544.2460108101</v>
      </c>
      <c r="K36" s="5">
        <f t="shared" si="2"/>
        <v>85017829.458321154</v>
      </c>
    </row>
    <row r="37" spans="1:11" x14ac:dyDescent="0.3">
      <c r="A37" s="2">
        <v>43465</v>
      </c>
      <c r="B37">
        <v>36</v>
      </c>
      <c r="C37" s="4">
        <v>91008617.066</v>
      </c>
      <c r="D37">
        <f t="shared" si="18"/>
        <v>91217064.296587184</v>
      </c>
      <c r="E37">
        <f t="shared" si="3"/>
        <v>93338183.022674724</v>
      </c>
      <c r="F37">
        <f t="shared" si="4"/>
        <v>93102503.164220557</v>
      </c>
      <c r="G37" s="5">
        <f t="shared" si="5"/>
        <v>-2093886.098220557</v>
      </c>
      <c r="H37">
        <v>-583887.93757637346</v>
      </c>
      <c r="I37">
        <v>0</v>
      </c>
      <c r="J37" s="5">
        <f t="shared" si="19"/>
        <v>375440.70698918903</v>
      </c>
      <c r="K37" s="5">
        <f t="shared" si="2"/>
        <v>90800169.835412815</v>
      </c>
    </row>
    <row r="38" spans="1:11" x14ac:dyDescent="0.3">
      <c r="A38" s="2">
        <v>43496</v>
      </c>
      <c r="B38">
        <v>37</v>
      </c>
      <c r="C38" s="4">
        <v>87595500.759000003</v>
      </c>
      <c r="D38">
        <f t="shared" si="18"/>
        <v>91688424.01349552</v>
      </c>
      <c r="E38">
        <f t="shared" si="3"/>
        <v>93809542.739583075</v>
      </c>
      <c r="F38">
        <f t="shared" si="4"/>
        <v>93573862.881128907</v>
      </c>
      <c r="G38" s="5">
        <f t="shared" si="5"/>
        <v>-5978362.1221289039</v>
      </c>
      <c r="H38">
        <v>-2283153.8805958247</v>
      </c>
      <c r="I38">
        <v>0</v>
      </c>
      <c r="J38" s="5">
        <f t="shared" si="19"/>
        <v>-1809769.3738996917</v>
      </c>
      <c r="K38" s="5">
        <f t="shared" si="2"/>
        <v>83502577.504504487</v>
      </c>
    </row>
    <row r="39" spans="1:11" x14ac:dyDescent="0.3">
      <c r="A39" s="2">
        <v>43524</v>
      </c>
      <c r="B39">
        <v>38</v>
      </c>
      <c r="C39" s="4">
        <v>86352028.885000005</v>
      </c>
      <c r="D39">
        <f t="shared" si="18"/>
        <v>92159783.73040387</v>
      </c>
      <c r="E39">
        <f t="shared" si="3"/>
        <v>94280902.456491411</v>
      </c>
      <c r="F39">
        <f t="shared" si="4"/>
        <v>94045222.598037243</v>
      </c>
      <c r="G39" s="5">
        <f t="shared" si="5"/>
        <v>-7693193.7130372375</v>
      </c>
      <c r="H39">
        <v>-2985435.1465041689</v>
      </c>
      <c r="I39">
        <v>0</v>
      </c>
      <c r="J39" s="5">
        <f t="shared" si="19"/>
        <v>-2822319.6988996961</v>
      </c>
      <c r="K39" s="5">
        <f t="shared" si="2"/>
        <v>80544274.03959614</v>
      </c>
    </row>
    <row r="40" spans="1:11" x14ac:dyDescent="0.3">
      <c r="A40" s="2">
        <v>43555</v>
      </c>
      <c r="B40">
        <v>39</v>
      </c>
      <c r="C40" s="4">
        <v>88640431.001000002</v>
      </c>
      <c r="D40">
        <f t="shared" si="18"/>
        <v>92631143.447312206</v>
      </c>
      <c r="E40">
        <f t="shared" si="3"/>
        <v>94752262.173399761</v>
      </c>
      <c r="F40">
        <f t="shared" si="4"/>
        <v>94516582.314945579</v>
      </c>
      <c r="G40" s="5">
        <f t="shared" si="5"/>
        <v>-5876151.3139455765</v>
      </c>
      <c r="H40">
        <v>-2137609.50429017</v>
      </c>
      <c r="I40">
        <v>0</v>
      </c>
      <c r="J40" s="5">
        <f t="shared" si="19"/>
        <v>-1853102.942022034</v>
      </c>
      <c r="K40" s="5">
        <f t="shared" si="2"/>
        <v>84649718.554687798</v>
      </c>
    </row>
    <row r="41" spans="1:11" x14ac:dyDescent="0.3">
      <c r="A41" s="2">
        <v>43585</v>
      </c>
      <c r="B41">
        <v>40</v>
      </c>
      <c r="C41" s="4">
        <v>88372423.069000006</v>
      </c>
      <c r="D41">
        <f t="shared" si="18"/>
        <v>93102503.164220557</v>
      </c>
      <c r="E41">
        <f t="shared" si="3"/>
        <v>95223621.890308097</v>
      </c>
      <c r="F41">
        <f t="shared" si="4"/>
        <v>94987942.031853929</v>
      </c>
      <c r="G41" s="5">
        <f t="shared" si="5"/>
        <v>-6615518.9628539234</v>
      </c>
      <c r="H41">
        <v>-1693542.6908651805</v>
      </c>
      <c r="I41">
        <v>0</v>
      </c>
      <c r="J41" s="5">
        <f t="shared" si="19"/>
        <v>-3036537.4043553704</v>
      </c>
      <c r="K41" s="5">
        <f t="shared" si="2"/>
        <v>83642342.973779455</v>
      </c>
    </row>
    <row r="42" spans="1:11" x14ac:dyDescent="0.3">
      <c r="A42" s="2">
        <v>43616</v>
      </c>
      <c r="B42">
        <v>41</v>
      </c>
      <c r="C42" s="4">
        <v>89915520.664000005</v>
      </c>
      <c r="D42">
        <f t="shared" si="18"/>
        <v>93573862.881128907</v>
      </c>
      <c r="E42">
        <f t="shared" si="3"/>
        <v>95694981.607216433</v>
      </c>
      <c r="F42">
        <f t="shared" si="4"/>
        <v>95459301.748762265</v>
      </c>
      <c r="G42" s="5">
        <f t="shared" si="5"/>
        <v>-5543781.0847622603</v>
      </c>
      <c r="H42">
        <v>-395038.88799574308</v>
      </c>
      <c r="I42">
        <v>0</v>
      </c>
      <c r="J42" s="5">
        <f t="shared" si="19"/>
        <v>-3263303.3291331595</v>
      </c>
      <c r="K42" s="5">
        <f t="shared" si="2"/>
        <v>86257178.446871102</v>
      </c>
    </row>
    <row r="43" spans="1:11" x14ac:dyDescent="0.3">
      <c r="A43" s="2">
        <v>43646</v>
      </c>
      <c r="B43">
        <v>42</v>
      </c>
      <c r="C43" s="4">
        <v>89142429.312000006</v>
      </c>
      <c r="D43">
        <f t="shared" si="18"/>
        <v>94045222.598037243</v>
      </c>
      <c r="E43">
        <f t="shared" si="3"/>
        <v>96166341.324124798</v>
      </c>
      <c r="F43">
        <f t="shared" si="4"/>
        <v>95930661.465670615</v>
      </c>
      <c r="G43" s="5">
        <f t="shared" si="5"/>
        <v>-6788232.153670609</v>
      </c>
      <c r="H43">
        <v>-632738.88579297566</v>
      </c>
      <c r="I43">
        <v>0</v>
      </c>
      <c r="J43" s="5">
        <f t="shared" si="19"/>
        <v>-4270054.4002442611</v>
      </c>
      <c r="K43" s="5">
        <f t="shared" si="2"/>
        <v>84239636.02596277</v>
      </c>
    </row>
    <row r="44" spans="1:11" x14ac:dyDescent="0.3">
      <c r="A44" s="2">
        <v>43677</v>
      </c>
      <c r="B44">
        <v>43</v>
      </c>
      <c r="C44" s="4">
        <v>90498304.484999999</v>
      </c>
      <c r="D44">
        <f t="shared" si="18"/>
        <v>94516582.314945593</v>
      </c>
      <c r="E44">
        <f t="shared" si="3"/>
        <v>96637701.041033149</v>
      </c>
      <c r="F44">
        <f t="shared" si="4"/>
        <v>96402021.182578981</v>
      </c>
      <c r="G44" s="5">
        <f t="shared" si="5"/>
        <v>-5903716.6975789815</v>
      </c>
      <c r="H44">
        <v>-346453.50636798638</v>
      </c>
      <c r="I44">
        <v>0</v>
      </c>
      <c r="J44" s="5">
        <f>C44-D44-H44-I44</f>
        <v>-3671824.3235776075</v>
      </c>
      <c r="K44" s="5">
        <f t="shared" si="2"/>
        <v>86480026.655054405</v>
      </c>
    </row>
    <row r="45" spans="1:11" x14ac:dyDescent="0.3">
      <c r="A45" s="2">
        <v>43708</v>
      </c>
      <c r="B45">
        <v>44</v>
      </c>
      <c r="C45" s="4">
        <v>91652845.770999998</v>
      </c>
      <c r="D45">
        <f t="shared" si="18"/>
        <v>94987942.031853929</v>
      </c>
      <c r="E45">
        <f t="shared" si="3"/>
        <v>97109060.757941484</v>
      </c>
      <c r="F45">
        <f t="shared" si="4"/>
        <v>96873380.899487317</v>
      </c>
      <c r="G45" s="5">
        <f t="shared" si="5"/>
        <v>-5220535.1284873188</v>
      </c>
      <c r="H45">
        <v>-675103.89694299968</v>
      </c>
      <c r="I45">
        <v>0</v>
      </c>
      <c r="J45" s="5">
        <f t="shared" ref="J45:J53" si="20">C45-D45-H45-I45</f>
        <v>-2659992.3639109316</v>
      </c>
      <c r="K45" s="5">
        <f t="shared" si="2"/>
        <v>88317749.510146067</v>
      </c>
    </row>
    <row r="46" spans="1:11" x14ac:dyDescent="0.3">
      <c r="A46" s="2">
        <v>43738</v>
      </c>
      <c r="B46">
        <v>45</v>
      </c>
      <c r="C46" s="4">
        <v>91661078.133000001</v>
      </c>
      <c r="D46">
        <f t="shared" si="18"/>
        <v>95459301.74876228</v>
      </c>
      <c r="E46">
        <f t="shared" si="3"/>
        <v>97580420.474849865</v>
      </c>
      <c r="F46">
        <f t="shared" si="4"/>
        <v>97344740.616395682</v>
      </c>
      <c r="G46" s="5">
        <f t="shared" si="5"/>
        <v>-5683662.4833956808</v>
      </c>
      <c r="H46">
        <v>-905323.49262911745</v>
      </c>
      <c r="I46">
        <v>0</v>
      </c>
      <c r="J46" s="5">
        <f t="shared" si="20"/>
        <v>-2892900.1231331611</v>
      </c>
      <c r="K46" s="5">
        <f t="shared" si="2"/>
        <v>87862854.517237723</v>
      </c>
    </row>
    <row r="47" spans="1:11" x14ac:dyDescent="0.3">
      <c r="A47" s="2">
        <v>43769</v>
      </c>
      <c r="B47">
        <v>46</v>
      </c>
      <c r="C47" s="4">
        <v>94081616.554000005</v>
      </c>
      <c r="D47">
        <f t="shared" si="18"/>
        <v>95930661.465670615</v>
      </c>
      <c r="E47">
        <f t="shared" si="3"/>
        <v>98051780.191758201</v>
      </c>
      <c r="F47">
        <f t="shared" si="4"/>
        <v>97816100.333304033</v>
      </c>
      <c r="G47" s="5">
        <f t="shared" si="5"/>
        <v>-3734483.7793040276</v>
      </c>
      <c r="H47">
        <v>-758915.08164857491</v>
      </c>
      <c r="I47">
        <v>0</v>
      </c>
      <c r="J47" s="5">
        <f t="shared" si="20"/>
        <v>-1090129.8300220354</v>
      </c>
      <c r="K47" s="5">
        <f t="shared" si="2"/>
        <v>92232571.642329395</v>
      </c>
    </row>
    <row r="48" spans="1:11" x14ac:dyDescent="0.3">
      <c r="A48" s="2">
        <v>43799</v>
      </c>
      <c r="B48">
        <v>47</v>
      </c>
      <c r="C48" s="4">
        <v>94531988.766000003</v>
      </c>
      <c r="D48">
        <f t="shared" si="18"/>
        <v>96402021.182578966</v>
      </c>
      <c r="E48">
        <f t="shared" si="3"/>
        <v>98523139.908666506</v>
      </c>
      <c r="F48">
        <f t="shared" si="4"/>
        <v>98287460.050212353</v>
      </c>
      <c r="G48" s="5">
        <f t="shared" si="5"/>
        <v>-3755471.2842123508</v>
      </c>
      <c r="H48">
        <v>-762393.31466802955</v>
      </c>
      <c r="I48">
        <v>0</v>
      </c>
      <c r="J48" s="5">
        <f t="shared" si="20"/>
        <v>-1107639.1019109339</v>
      </c>
      <c r="K48" s="5">
        <f t="shared" si="2"/>
        <v>92661956.349421039</v>
      </c>
    </row>
    <row r="49" spans="1:11" x14ac:dyDescent="0.3">
      <c r="A49" s="2">
        <v>43830</v>
      </c>
      <c r="B49">
        <v>48</v>
      </c>
      <c r="C49" s="4">
        <v>94218769.515000001</v>
      </c>
      <c r="D49">
        <f t="shared" si="18"/>
        <v>96873380.899487317</v>
      </c>
      <c r="E49">
        <f>AVERAGE(D48:D59)</f>
        <v>98994499.625574872</v>
      </c>
      <c r="F49">
        <f t="shared" si="4"/>
        <v>98758819.767120689</v>
      </c>
      <c r="G49" s="5">
        <f t="shared" si="5"/>
        <v>-4540050.2521206886</v>
      </c>
      <c r="H49">
        <v>-583887.93757637346</v>
      </c>
      <c r="I49">
        <v>0</v>
      </c>
      <c r="J49" s="5">
        <f t="shared" si="20"/>
        <v>-2070723.4469109424</v>
      </c>
      <c r="K49" s="5">
        <f t="shared" si="2"/>
        <v>91564158.130512685</v>
      </c>
    </row>
    <row r="50" spans="1:11" x14ac:dyDescent="0.3">
      <c r="A50" s="2">
        <v>43861</v>
      </c>
      <c r="B50">
        <v>49</v>
      </c>
      <c r="C50" s="4">
        <v>93695602.963</v>
      </c>
      <c r="D50">
        <f t="shared" si="18"/>
        <v>97344740.616395652</v>
      </c>
      <c r="E50">
        <f t="shared" si="3"/>
        <v>99465859.342483208</v>
      </c>
      <c r="F50">
        <f t="shared" si="4"/>
        <v>99230179.48402904</v>
      </c>
      <c r="G50" s="5">
        <f t="shared" si="5"/>
        <v>-5534576.5210290402</v>
      </c>
      <c r="H50">
        <v>-2283153.8805958247</v>
      </c>
      <c r="I50">
        <v>0</v>
      </c>
      <c r="J50" s="5">
        <f t="shared" si="20"/>
        <v>-1365983.7727998281</v>
      </c>
      <c r="K50" s="5">
        <f>C50+H50+I50+J50</f>
        <v>90046465.309604347</v>
      </c>
    </row>
    <row r="51" spans="1:11" x14ac:dyDescent="0.3">
      <c r="A51" s="2">
        <v>43890</v>
      </c>
      <c r="B51">
        <v>50</v>
      </c>
      <c r="C51" s="4">
        <v>95170743.437000006</v>
      </c>
      <c r="D51">
        <f t="shared" si="18"/>
        <v>97816100.333304003</v>
      </c>
      <c r="E51">
        <f t="shared" si="3"/>
        <v>99937219.059391558</v>
      </c>
      <c r="F51">
        <f t="shared" si="4"/>
        <v>99701539.20093739</v>
      </c>
      <c r="G51" s="5">
        <f t="shared" si="5"/>
        <v>-4530795.7639373839</v>
      </c>
      <c r="H51">
        <v>-2985435.1465041689</v>
      </c>
      <c r="I51">
        <v>0</v>
      </c>
      <c r="J51" s="5">
        <f t="shared" si="20"/>
        <v>340078.25020017242</v>
      </c>
      <c r="K51" s="5">
        <f t="shared" si="2"/>
        <v>92525386.54069601</v>
      </c>
    </row>
    <row r="52" spans="1:11" x14ac:dyDescent="0.3">
      <c r="A52" s="2">
        <v>43921</v>
      </c>
      <c r="B52">
        <v>51</v>
      </c>
      <c r="C52" s="4">
        <v>99031244.620000005</v>
      </c>
      <c r="D52">
        <f t="shared" si="18"/>
        <v>98287460.050212339</v>
      </c>
      <c r="E52">
        <f t="shared" si="3"/>
        <v>100408578.77629989</v>
      </c>
      <c r="F52">
        <f t="shared" si="4"/>
        <v>100172898.91784573</v>
      </c>
      <c r="G52" s="5">
        <f t="shared" si="5"/>
        <v>-1141654.2978457212</v>
      </c>
      <c r="H52">
        <v>-2137609.50429017</v>
      </c>
      <c r="I52">
        <v>0</v>
      </c>
      <c r="J52" s="5">
        <f t="shared" si="20"/>
        <v>2881394.0740778362</v>
      </c>
      <c r="K52" s="5">
        <f t="shared" si="2"/>
        <v>99775029.189787671</v>
      </c>
    </row>
    <row r="53" spans="1:11" x14ac:dyDescent="0.3">
      <c r="A53" s="2">
        <v>43951</v>
      </c>
      <c r="B53">
        <v>52</v>
      </c>
      <c r="C53" s="4">
        <v>100066793.93700001</v>
      </c>
      <c r="D53">
        <f t="shared" si="18"/>
        <v>98758819.767120689</v>
      </c>
      <c r="E53">
        <f t="shared" si="3"/>
        <v>100879938.49320823</v>
      </c>
      <c r="F53">
        <f t="shared" si="4"/>
        <v>100644258.63475406</v>
      </c>
      <c r="G53" s="5">
        <f t="shared" si="5"/>
        <v>-577464.69775405526</v>
      </c>
      <c r="H53">
        <v>-1693542.6908651805</v>
      </c>
      <c r="I53">
        <v>0</v>
      </c>
      <c r="J53" s="5">
        <f t="shared" si="20"/>
        <v>3001516.8607444977</v>
      </c>
      <c r="K53" s="5">
        <f t="shared" si="2"/>
        <v>101374768.10687932</v>
      </c>
    </row>
    <row r="54" spans="1:11" x14ac:dyDescent="0.3">
      <c r="A54" s="2">
        <v>43982</v>
      </c>
      <c r="B54">
        <v>53</v>
      </c>
      <c r="C54" s="4">
        <v>111524376.46699999</v>
      </c>
      <c r="D54">
        <f t="shared" si="18"/>
        <v>99230179.484029025</v>
      </c>
      <c r="E54">
        <f t="shared" si="3"/>
        <v>101351298.21011657</v>
      </c>
      <c r="F54">
        <f t="shared" si="4"/>
        <v>101115618.3516624</v>
      </c>
      <c r="G54" s="5">
        <f t="shared" si="5"/>
        <v>10408758.115337595</v>
      </c>
      <c r="H54">
        <v>-395038.88799574308</v>
      </c>
      <c r="I54">
        <v>0</v>
      </c>
      <c r="J54" s="5">
        <f>C54-D54-H54-I54</f>
        <v>12689235.87096671</v>
      </c>
      <c r="K54" s="5">
        <f>C54+H54+I54+J54</f>
        <v>123818573.44997096</v>
      </c>
    </row>
    <row r="55" spans="1:11" x14ac:dyDescent="0.3">
      <c r="A55" s="2">
        <v>44012</v>
      </c>
      <c r="B55">
        <v>54</v>
      </c>
      <c r="C55" s="4">
        <v>110028934.654</v>
      </c>
      <c r="D55">
        <f t="shared" si="18"/>
        <v>99701539.200937375</v>
      </c>
      <c r="E55">
        <f t="shared" si="3"/>
        <v>101822657.92702492</v>
      </c>
      <c r="F55">
        <f t="shared" si="4"/>
        <v>101586978.06857073</v>
      </c>
      <c r="G55" s="5">
        <f t="shared" si="5"/>
        <v>8441956.5854292661</v>
      </c>
      <c r="H55">
        <v>-632738.88579297566</v>
      </c>
      <c r="I55">
        <v>0</v>
      </c>
      <c r="J55" s="5">
        <f t="shared" ref="J55:J66" si="21">C55-D55-H55-I55</f>
        <v>10960134.3388556</v>
      </c>
      <c r="K55" s="5">
        <f t="shared" si="2"/>
        <v>120356330.10706262</v>
      </c>
    </row>
    <row r="56" spans="1:11" x14ac:dyDescent="0.3">
      <c r="A56" s="2">
        <v>44043</v>
      </c>
      <c r="B56">
        <v>55</v>
      </c>
      <c r="C56" s="4">
        <v>109957970.73100001</v>
      </c>
      <c r="D56">
        <f t="shared" si="18"/>
        <v>100172898.91784573</v>
      </c>
      <c r="E56">
        <f t="shared" si="3"/>
        <v>102294017.64393325</v>
      </c>
      <c r="F56">
        <f t="shared" si="4"/>
        <v>102058337.78547908</v>
      </c>
      <c r="G56" s="5">
        <f t="shared" si="5"/>
        <v>7899632.9455209225</v>
      </c>
      <c r="H56">
        <v>-346453.50636798638</v>
      </c>
      <c r="I56">
        <v>0</v>
      </c>
      <c r="J56" s="5">
        <f t="shared" si="21"/>
        <v>10131525.319522267</v>
      </c>
      <c r="K56" s="5">
        <f t="shared" si="2"/>
        <v>119743042.54415429</v>
      </c>
    </row>
    <row r="57" spans="1:11" x14ac:dyDescent="0.3">
      <c r="A57" s="2">
        <v>44074</v>
      </c>
      <c r="B57">
        <v>56</v>
      </c>
      <c r="C57" s="4">
        <v>111596786.992</v>
      </c>
      <c r="D57">
        <f t="shared" si="18"/>
        <v>100644258.63475406</v>
      </c>
      <c r="E57">
        <f t="shared" si="3"/>
        <v>102765377.36084159</v>
      </c>
      <c r="F57">
        <f t="shared" si="4"/>
        <v>102529697.50238742</v>
      </c>
      <c r="G57" s="5">
        <f t="shared" si="5"/>
        <v>9067089.4896125793</v>
      </c>
      <c r="H57">
        <v>-675103.89694299968</v>
      </c>
      <c r="I57">
        <v>0</v>
      </c>
      <c r="J57" s="5">
        <f t="shared" si="21"/>
        <v>11627632.254188936</v>
      </c>
      <c r="K57" s="5">
        <f t="shared" si="2"/>
        <v>122549315.34924594</v>
      </c>
    </row>
    <row r="58" spans="1:11" x14ac:dyDescent="0.3">
      <c r="A58" s="2">
        <v>44104</v>
      </c>
      <c r="B58">
        <v>57</v>
      </c>
      <c r="C58" s="4">
        <v>111827810.392</v>
      </c>
      <c r="D58">
        <f t="shared" si="18"/>
        <v>101115618.35166241</v>
      </c>
      <c r="E58">
        <f t="shared" si="3"/>
        <v>103236737.07774992</v>
      </c>
      <c r="F58">
        <f t="shared" si="4"/>
        <v>103001057.21929576</v>
      </c>
      <c r="G58" s="5">
        <f t="shared" si="5"/>
        <v>8826753.1727042496</v>
      </c>
      <c r="H58">
        <v>-905323.49262911745</v>
      </c>
      <c r="I58">
        <v>0</v>
      </c>
      <c r="J58" s="5">
        <f t="shared" si="21"/>
        <v>11617515.532966711</v>
      </c>
      <c r="K58" s="5">
        <f t="shared" si="2"/>
        <v>122540002.43233761</v>
      </c>
    </row>
    <row r="59" spans="1:11" x14ac:dyDescent="0.3">
      <c r="A59" s="2">
        <v>44135</v>
      </c>
      <c r="B59">
        <v>58</v>
      </c>
      <c r="C59" s="4">
        <v>112093108.34900001</v>
      </c>
      <c r="D59">
        <f t="shared" si="18"/>
        <v>101586978.06857075</v>
      </c>
      <c r="E59">
        <f t="shared" si="3"/>
        <v>103708096.79465832</v>
      </c>
      <c r="F59">
        <f t="shared" si="4"/>
        <v>103472416.93620412</v>
      </c>
      <c r="G59" s="5">
        <f t="shared" si="5"/>
        <v>8620691.4127958864</v>
      </c>
      <c r="H59">
        <v>-758915.08164857491</v>
      </c>
      <c r="I59">
        <v>0</v>
      </c>
      <c r="J59" s="5">
        <f t="shared" si="21"/>
        <v>11265045.362077834</v>
      </c>
      <c r="K59" s="5">
        <f t="shared" si="2"/>
        <v>122599238.62942927</v>
      </c>
    </row>
    <row r="60" spans="1:11" x14ac:dyDescent="0.3">
      <c r="A60" s="2">
        <v>44165</v>
      </c>
      <c r="B60">
        <v>59</v>
      </c>
      <c r="C60" s="4">
        <v>112321529.46799999</v>
      </c>
      <c r="D60">
        <f t="shared" si="18"/>
        <v>102058337.7854791</v>
      </c>
      <c r="E60">
        <f t="shared" si="3"/>
        <v>104179456.51156668</v>
      </c>
      <c r="F60">
        <f t="shared" si="4"/>
        <v>103943776.6531125</v>
      </c>
      <c r="G60" s="5">
        <f t="shared" si="5"/>
        <v>8377752.8148874938</v>
      </c>
      <c r="H60">
        <v>-762393.31466802955</v>
      </c>
      <c r="I60">
        <v>0</v>
      </c>
      <c r="J60" s="5">
        <f t="shared" si="21"/>
        <v>11025584.997188926</v>
      </c>
      <c r="K60" s="5">
        <f t="shared" si="2"/>
        <v>122584721.15052089</v>
      </c>
    </row>
    <row r="61" spans="1:11" x14ac:dyDescent="0.3">
      <c r="A61" s="2">
        <v>44196</v>
      </c>
      <c r="B61">
        <v>60</v>
      </c>
      <c r="C61" s="4">
        <v>112142201.198</v>
      </c>
      <c r="D61">
        <f t="shared" si="18"/>
        <v>102529697.50238743</v>
      </c>
      <c r="E61">
        <f t="shared" si="3"/>
        <v>104650816.22847499</v>
      </c>
      <c r="F61">
        <f t="shared" si="4"/>
        <v>104415136.37002084</v>
      </c>
      <c r="G61" s="5">
        <f t="shared" si="5"/>
        <v>7727064.8279791623</v>
      </c>
      <c r="H61">
        <v>-583887.93757637346</v>
      </c>
      <c r="I61">
        <v>0</v>
      </c>
      <c r="J61" s="5">
        <f t="shared" si="21"/>
        <v>10196391.633188939</v>
      </c>
      <c r="K61" s="5">
        <f t="shared" si="2"/>
        <v>121754704.89361256</v>
      </c>
    </row>
    <row r="62" spans="1:11" x14ac:dyDescent="0.3">
      <c r="A62" s="2">
        <v>44227</v>
      </c>
      <c r="B62">
        <v>61</v>
      </c>
      <c r="C62" s="4">
        <v>111240228.595</v>
      </c>
      <c r="D62">
        <f t="shared" si="18"/>
        <v>103001057.21929578</v>
      </c>
      <c r="E62">
        <f t="shared" si="3"/>
        <v>105122175.94538336</v>
      </c>
      <c r="F62">
        <f t="shared" si="4"/>
        <v>104886496.08692917</v>
      </c>
      <c r="G62" s="5">
        <f t="shared" si="5"/>
        <v>6353732.5080708265</v>
      </c>
      <c r="H62">
        <v>-2283153.8805958247</v>
      </c>
      <c r="I62">
        <v>0</v>
      </c>
      <c r="J62" s="5">
        <f t="shared" si="21"/>
        <v>10522325.25630004</v>
      </c>
      <c r="K62" s="5">
        <f t="shared" si="2"/>
        <v>119479399.97070423</v>
      </c>
    </row>
    <row r="63" spans="1:11" x14ac:dyDescent="0.3">
      <c r="A63" s="2">
        <v>44255</v>
      </c>
      <c r="B63">
        <v>62</v>
      </c>
      <c r="C63" s="4">
        <v>110750958.042</v>
      </c>
      <c r="D63">
        <f t="shared" si="18"/>
        <v>103472416.93620414</v>
      </c>
      <c r="E63">
        <f t="shared" si="3"/>
        <v>105593535.66229169</v>
      </c>
      <c r="F63">
        <f t="shared" si="4"/>
        <v>105357855.80383752</v>
      </c>
      <c r="G63" s="5">
        <f t="shared" si="5"/>
        <v>5393102.2381624728</v>
      </c>
      <c r="H63">
        <v>-2985435.1465041689</v>
      </c>
      <c r="I63">
        <v>0</v>
      </c>
      <c r="J63" s="5">
        <f t="shared" si="21"/>
        <v>10263976.25230003</v>
      </c>
      <c r="K63" s="5">
        <f t="shared" si="2"/>
        <v>118029499.14779586</v>
      </c>
    </row>
    <row r="64" spans="1:11" x14ac:dyDescent="0.3">
      <c r="A64" s="2">
        <v>44286</v>
      </c>
      <c r="B64">
        <v>63</v>
      </c>
      <c r="C64" s="4">
        <v>110971754.62100001</v>
      </c>
      <c r="D64">
        <f t="shared" si="18"/>
        <v>103943776.65311247</v>
      </c>
      <c r="E64">
        <f>AVERAGE(D63:D74)</f>
        <v>106064895.37920004</v>
      </c>
      <c r="F64">
        <f t="shared" si="4"/>
        <v>105829215.52074587</v>
      </c>
      <c r="G64" s="5">
        <f t="shared" si="5"/>
        <v>5142539.1002541333</v>
      </c>
      <c r="H64">
        <v>-2137609.50429017</v>
      </c>
      <c r="I64">
        <v>0</v>
      </c>
      <c r="J64" s="5">
        <f t="shared" si="21"/>
        <v>9165587.4721777067</v>
      </c>
      <c r="K64" s="5">
        <f t="shared" si="2"/>
        <v>117999732.58888754</v>
      </c>
    </row>
    <row r="65" spans="1:11" x14ac:dyDescent="0.3">
      <c r="A65" s="2">
        <v>44316</v>
      </c>
      <c r="B65">
        <v>64</v>
      </c>
      <c r="C65" s="4">
        <v>112018381.814</v>
      </c>
      <c r="D65">
        <f t="shared" si="18"/>
        <v>104415136.37002082</v>
      </c>
      <c r="E65">
        <f t="shared" si="3"/>
        <v>106536255.09610836</v>
      </c>
      <c r="F65">
        <f t="shared" si="4"/>
        <v>106300575.23765421</v>
      </c>
      <c r="G65" s="5">
        <f t="shared" si="5"/>
        <v>5717806.5763457865</v>
      </c>
      <c r="H65">
        <v>-1693542.6908651805</v>
      </c>
      <c r="I65">
        <v>0</v>
      </c>
      <c r="J65" s="5">
        <f t="shared" si="21"/>
        <v>9296788.1348443553</v>
      </c>
      <c r="K65" s="5">
        <f t="shared" si="2"/>
        <v>119621627.25797918</v>
      </c>
    </row>
    <row r="66" spans="1:11" x14ac:dyDescent="0.3">
      <c r="A66" s="2">
        <v>44347</v>
      </c>
      <c r="B66">
        <v>65</v>
      </c>
      <c r="C66" s="4">
        <v>113985851.617</v>
      </c>
      <c r="D66">
        <f t="shared" ref="D66:D97" si="22">$N$2+$N$3*B66</f>
        <v>104886496.08692916</v>
      </c>
      <c r="E66">
        <f t="shared" si="3"/>
        <v>107007614.81301671</v>
      </c>
      <c r="F66">
        <f t="shared" si="4"/>
        <v>106771934.95456254</v>
      </c>
      <c r="G66" s="5">
        <f t="shared" si="5"/>
        <v>7213916.6624374539</v>
      </c>
      <c r="H66">
        <v>-395038.88799574308</v>
      </c>
      <c r="I66">
        <v>0</v>
      </c>
      <c r="J66" s="5">
        <f t="shared" si="21"/>
        <v>9494394.4180665836</v>
      </c>
      <c r="K66" s="5">
        <f t="shared" si="2"/>
        <v>123085207.14707083</v>
      </c>
    </row>
    <row r="67" spans="1:11" x14ac:dyDescent="0.3">
      <c r="A67" s="2">
        <v>44377</v>
      </c>
      <c r="B67">
        <v>66</v>
      </c>
      <c r="C67" s="4">
        <v>116625151.589</v>
      </c>
      <c r="D67">
        <f t="shared" si="22"/>
        <v>105357855.80383751</v>
      </c>
      <c r="E67">
        <f t="shared" si="3"/>
        <v>107478974.52992505</v>
      </c>
      <c r="F67">
        <f t="shared" si="4"/>
        <v>107243294.67147088</v>
      </c>
      <c r="G67" s="5">
        <f t="shared" si="5"/>
        <v>9381856.917529121</v>
      </c>
      <c r="H67">
        <v>-632738.88579297566</v>
      </c>
      <c r="I67">
        <v>0</v>
      </c>
      <c r="J67" s="5">
        <f>C67-D67-H67-I67</f>
        <v>11900034.67095547</v>
      </c>
      <c r="K67" s="5">
        <f t="shared" ref="K67:K69" si="23">C67+H67+I67+J67</f>
        <v>127892447.3741625</v>
      </c>
    </row>
    <row r="68" spans="1:11" x14ac:dyDescent="0.3">
      <c r="A68" s="2">
        <v>44408</v>
      </c>
      <c r="B68">
        <v>67</v>
      </c>
      <c r="C68" s="4">
        <v>119730234.376</v>
      </c>
      <c r="D68">
        <f t="shared" si="22"/>
        <v>105829215.52074584</v>
      </c>
      <c r="E68">
        <f t="shared" ref="E68:E76" si="24">AVERAGE(D67:D78)</f>
        <v>107950334.2468334</v>
      </c>
      <c r="F68">
        <f t="shared" si="4"/>
        <v>107714654.38837922</v>
      </c>
      <c r="G68" s="5">
        <f t="shared" si="5"/>
        <v>12015579.987620786</v>
      </c>
      <c r="H68">
        <v>-346453.50636798638</v>
      </c>
      <c r="I68">
        <v>0</v>
      </c>
      <c r="J68" s="5">
        <f t="shared" ref="J68:J76" si="25">C68-D68-H68-I68</f>
        <v>14247472.361622145</v>
      </c>
      <c r="K68" s="5">
        <f t="shared" si="23"/>
        <v>133631253.23125416</v>
      </c>
    </row>
    <row r="69" spans="1:11" x14ac:dyDescent="0.3">
      <c r="A69" s="2">
        <v>44439</v>
      </c>
      <c r="B69">
        <v>68</v>
      </c>
      <c r="C69" s="4">
        <v>119607657.184</v>
      </c>
      <c r="D69">
        <f t="shared" si="22"/>
        <v>106300575.23765419</v>
      </c>
      <c r="E69">
        <f t="shared" si="24"/>
        <v>108421693.96374173</v>
      </c>
      <c r="F69">
        <f t="shared" ref="F69:F111" si="26">AVERAGE(E68:E69)</f>
        <v>108186014.10528757</v>
      </c>
      <c r="G69" s="5">
        <f t="shared" ref="G69:G110" si="27">C69-F69</f>
        <v>11421643.078712434</v>
      </c>
      <c r="H69">
        <v>-675103.89694299968</v>
      </c>
      <c r="I69">
        <v>0</v>
      </c>
      <c r="J69" s="5">
        <f t="shared" si="25"/>
        <v>13982185.843288805</v>
      </c>
      <c r="K69" s="5">
        <f t="shared" si="23"/>
        <v>132914739.13034581</v>
      </c>
    </row>
    <row r="70" spans="1:11" x14ac:dyDescent="0.3">
      <c r="A70" s="2">
        <v>44469</v>
      </c>
      <c r="B70">
        <v>69</v>
      </c>
      <c r="C70" s="4">
        <v>119423758.64300001</v>
      </c>
      <c r="D70">
        <f t="shared" si="22"/>
        <v>106771934.95456254</v>
      </c>
      <c r="E70">
        <f t="shared" si="24"/>
        <v>108893053.68065007</v>
      </c>
      <c r="F70">
        <f t="shared" si="26"/>
        <v>108657373.8221959</v>
      </c>
      <c r="G70" s="5">
        <f t="shared" si="27"/>
        <v>10766384.820804104</v>
      </c>
      <c r="H70">
        <v>-905323.49262911745</v>
      </c>
      <c r="I70">
        <v>0</v>
      </c>
      <c r="J70" s="5">
        <f t="shared" si="25"/>
        <v>13557147.18106658</v>
      </c>
      <c r="K70" s="5">
        <f>C70+H70+I70+J70</f>
        <v>132075582.33143747</v>
      </c>
    </row>
    <row r="71" spans="1:11" x14ac:dyDescent="0.3">
      <c r="A71" s="2">
        <v>44500</v>
      </c>
      <c r="B71">
        <v>70</v>
      </c>
      <c r="C71" s="4">
        <v>118390781.256</v>
      </c>
      <c r="D71">
        <f t="shared" si="22"/>
        <v>107243294.67147088</v>
      </c>
      <c r="E71">
        <f t="shared" si="24"/>
        <v>109364413.39755841</v>
      </c>
      <c r="F71">
        <f t="shared" si="26"/>
        <v>109128733.53910424</v>
      </c>
      <c r="G71" s="5">
        <f t="shared" si="27"/>
        <v>9262047.7168957591</v>
      </c>
      <c r="H71">
        <v>-758915.08164857491</v>
      </c>
      <c r="I71">
        <v>0</v>
      </c>
      <c r="J71" s="5">
        <f t="shared" si="25"/>
        <v>11906401.666177692</v>
      </c>
      <c r="K71" s="5">
        <f t="shared" ref="K71:K87" si="28">C71+H71+I71+J71</f>
        <v>129538267.84052911</v>
      </c>
    </row>
    <row r="72" spans="1:11" x14ac:dyDescent="0.3">
      <c r="A72" s="2">
        <v>44530</v>
      </c>
      <c r="B72">
        <v>71</v>
      </c>
      <c r="C72" s="4">
        <v>119019353.899</v>
      </c>
      <c r="D72">
        <f t="shared" si="22"/>
        <v>107714654.38837923</v>
      </c>
      <c r="E72">
        <f>AVERAGE(D71:D82)</f>
        <v>109835773.11446677</v>
      </c>
      <c r="F72">
        <f t="shared" si="26"/>
        <v>109600093.25601259</v>
      </c>
      <c r="G72" s="5">
        <f t="shared" si="27"/>
        <v>9419260.6429874152</v>
      </c>
      <c r="H72">
        <v>-762393.31466802955</v>
      </c>
      <c r="I72">
        <v>0</v>
      </c>
      <c r="J72" s="5">
        <f t="shared" si="25"/>
        <v>12067092.825288802</v>
      </c>
      <c r="K72" s="5">
        <f t="shared" si="28"/>
        <v>130324053.40962078</v>
      </c>
    </row>
    <row r="73" spans="1:11" x14ac:dyDescent="0.3">
      <c r="A73" s="2">
        <v>44561</v>
      </c>
      <c r="B73">
        <v>72</v>
      </c>
      <c r="C73" s="4">
        <v>120871401.391</v>
      </c>
      <c r="D73">
        <f t="shared" si="22"/>
        <v>108186014.10528758</v>
      </c>
      <c r="E73">
        <f t="shared" si="24"/>
        <v>110307132.83137512</v>
      </c>
      <c r="F73">
        <f t="shared" si="26"/>
        <v>110071452.97292095</v>
      </c>
      <c r="G73" s="5">
        <f t="shared" si="27"/>
        <v>10799948.418079048</v>
      </c>
      <c r="H73">
        <v>-583887.93757637346</v>
      </c>
      <c r="I73">
        <v>0</v>
      </c>
      <c r="J73" s="5">
        <f t="shared" si="25"/>
        <v>13269275.223288795</v>
      </c>
      <c r="K73" s="5">
        <f t="shared" si="28"/>
        <v>133556788.67671242</v>
      </c>
    </row>
    <row r="74" spans="1:11" x14ac:dyDescent="0.3">
      <c r="A74" s="2">
        <v>44592</v>
      </c>
      <c r="B74">
        <v>73</v>
      </c>
      <c r="C74" s="4">
        <v>118937788.976</v>
      </c>
      <c r="D74">
        <f t="shared" si="22"/>
        <v>108657373.82219592</v>
      </c>
      <c r="E74">
        <f t="shared" si="24"/>
        <v>110778492.54828347</v>
      </c>
      <c r="F74">
        <f t="shared" si="26"/>
        <v>110542812.68982929</v>
      </c>
      <c r="G74" s="5">
        <f t="shared" si="27"/>
        <v>8394976.2861707062</v>
      </c>
      <c r="H74">
        <v>-2283153.8805958247</v>
      </c>
      <c r="I74">
        <v>0</v>
      </c>
      <c r="J74" s="5">
        <f t="shared" si="25"/>
        <v>12563569.034399904</v>
      </c>
      <c r="K74" s="5">
        <f t="shared" si="28"/>
        <v>129218204.12980407</v>
      </c>
    </row>
    <row r="75" spans="1:11" x14ac:dyDescent="0.3">
      <c r="A75" s="2">
        <v>44620</v>
      </c>
      <c r="B75">
        <v>74</v>
      </c>
      <c r="C75" s="4">
        <v>117437241.743</v>
      </c>
      <c r="D75">
        <f t="shared" si="22"/>
        <v>109128733.53910425</v>
      </c>
      <c r="E75">
        <f t="shared" si="24"/>
        <v>111249852.26519184</v>
      </c>
      <c r="F75">
        <f t="shared" si="26"/>
        <v>111014172.40673766</v>
      </c>
      <c r="G75" s="5">
        <f t="shared" si="27"/>
        <v>6423069.3362623453</v>
      </c>
      <c r="H75">
        <v>-2985435.1465041689</v>
      </c>
      <c r="I75">
        <v>0</v>
      </c>
      <c r="J75" s="5">
        <f t="shared" si="25"/>
        <v>11293943.350399917</v>
      </c>
      <c r="K75" s="5">
        <f t="shared" si="28"/>
        <v>125745749.94689575</v>
      </c>
    </row>
    <row r="76" spans="1:11" x14ac:dyDescent="0.3">
      <c r="A76" s="2">
        <v>44651</v>
      </c>
      <c r="B76">
        <v>75</v>
      </c>
      <c r="C76" s="4">
        <v>118662966.723</v>
      </c>
      <c r="D76">
        <f t="shared" si="22"/>
        <v>109600093.2560126</v>
      </c>
      <c r="E76">
        <f t="shared" si="24"/>
        <v>111721211.98210017</v>
      </c>
      <c r="F76">
        <f t="shared" si="26"/>
        <v>111485532.12364601</v>
      </c>
      <c r="G76" s="5">
        <f t="shared" si="27"/>
        <v>7177434.5993539989</v>
      </c>
      <c r="H76">
        <v>-2137609.50429017</v>
      </c>
      <c r="I76">
        <v>0</v>
      </c>
      <c r="J76" s="5">
        <f t="shared" si="25"/>
        <v>11200482.971277572</v>
      </c>
      <c r="K76" s="5">
        <f t="shared" si="28"/>
        <v>127725840.18998742</v>
      </c>
    </row>
    <row r="77" spans="1:11" x14ac:dyDescent="0.3">
      <c r="A77" s="2">
        <v>44681</v>
      </c>
      <c r="B77">
        <v>76</v>
      </c>
      <c r="C77" s="4">
        <v>119489873.77599999</v>
      </c>
      <c r="D77">
        <f t="shared" si="22"/>
        <v>110071452.97292095</v>
      </c>
      <c r="E77">
        <f>AVERAGE(D76:D87)</f>
        <v>112192571.69900851</v>
      </c>
      <c r="F77">
        <f t="shared" si="26"/>
        <v>111956891.84055434</v>
      </c>
      <c r="G77" s="5">
        <f t="shared" si="27"/>
        <v>7532981.9354456514</v>
      </c>
      <c r="H77">
        <v>-1693542.6908651805</v>
      </c>
      <c r="I77">
        <v>0</v>
      </c>
      <c r="J77" s="5">
        <f>C77-D77-H77-I77</f>
        <v>11111963.49394422</v>
      </c>
      <c r="K77" s="5">
        <f t="shared" si="28"/>
        <v>128908294.57907903</v>
      </c>
    </row>
    <row r="78" spans="1:11" x14ac:dyDescent="0.3">
      <c r="A78" s="2">
        <v>44712</v>
      </c>
      <c r="B78">
        <v>77</v>
      </c>
      <c r="C78" s="4">
        <v>119104939.457</v>
      </c>
      <c r="D78">
        <f t="shared" si="22"/>
        <v>110542812.68982929</v>
      </c>
      <c r="E78">
        <f t="shared" ref="E78:E111" si="29">AVERAGE(D77:D88)</f>
        <v>112663931.41591686</v>
      </c>
      <c r="F78">
        <f t="shared" si="26"/>
        <v>112428251.55746269</v>
      </c>
      <c r="G78" s="5">
        <f t="shared" si="27"/>
        <v>6676687.89953731</v>
      </c>
      <c r="H78">
        <v>-395038.88799574308</v>
      </c>
      <c r="I78">
        <v>0</v>
      </c>
      <c r="J78" s="5">
        <f t="shared" ref="J78:J86" si="30">C78-D78-H78-I78</f>
        <v>8957165.6551664546</v>
      </c>
      <c r="K78" s="5">
        <f t="shared" si="28"/>
        <v>127667066.22417071</v>
      </c>
    </row>
    <row r="79" spans="1:11" x14ac:dyDescent="0.3">
      <c r="A79" s="2">
        <v>44742</v>
      </c>
      <c r="B79">
        <v>78</v>
      </c>
      <c r="C79" s="4">
        <v>123105397.984</v>
      </c>
      <c r="D79">
        <f t="shared" si="22"/>
        <v>111014172.40673764</v>
      </c>
      <c r="E79">
        <f t="shared" si="29"/>
        <v>113135291.1328252</v>
      </c>
      <c r="F79">
        <f t="shared" si="26"/>
        <v>112899611.27437103</v>
      </c>
      <c r="G79" s="5">
        <f t="shared" si="27"/>
        <v>10205786.709628969</v>
      </c>
      <c r="H79">
        <v>-632738.88579297566</v>
      </c>
      <c r="I79">
        <v>0</v>
      </c>
      <c r="J79" s="5">
        <f t="shared" si="30"/>
        <v>12723964.463055333</v>
      </c>
      <c r="K79" s="5">
        <f t="shared" si="28"/>
        <v>135196623.56126237</v>
      </c>
    </row>
    <row r="80" spans="1:11" x14ac:dyDescent="0.3">
      <c r="A80" s="2">
        <v>44773</v>
      </c>
      <c r="B80">
        <v>79</v>
      </c>
      <c r="C80" s="4">
        <v>125118210.45999999</v>
      </c>
      <c r="D80">
        <f t="shared" si="22"/>
        <v>111485532.12364599</v>
      </c>
      <c r="E80">
        <f t="shared" si="29"/>
        <v>113606650.84973353</v>
      </c>
      <c r="F80">
        <f t="shared" si="26"/>
        <v>113370970.99127936</v>
      </c>
      <c r="G80" s="5">
        <f t="shared" si="27"/>
        <v>11747239.46872063</v>
      </c>
      <c r="H80">
        <v>-346453.50636798638</v>
      </c>
      <c r="I80">
        <v>0</v>
      </c>
      <c r="J80" s="5">
        <f t="shared" si="30"/>
        <v>13979131.842721989</v>
      </c>
      <c r="K80" s="5">
        <f t="shared" si="28"/>
        <v>138750888.796354</v>
      </c>
    </row>
    <row r="81" spans="1:11" x14ac:dyDescent="0.3">
      <c r="A81" s="2">
        <v>44804</v>
      </c>
      <c r="B81">
        <v>80</v>
      </c>
      <c r="C81" s="4">
        <v>123502071.97</v>
      </c>
      <c r="D81">
        <f t="shared" si="22"/>
        <v>111956891.84055433</v>
      </c>
      <c r="E81">
        <f t="shared" si="29"/>
        <v>114078010.56664187</v>
      </c>
      <c r="F81">
        <f t="shared" si="26"/>
        <v>113842330.7081877</v>
      </c>
      <c r="G81" s="5">
        <f t="shared" si="27"/>
        <v>9659741.2618122995</v>
      </c>
      <c r="H81">
        <v>-675103.89694299968</v>
      </c>
      <c r="I81">
        <v>0</v>
      </c>
      <c r="J81" s="5">
        <f t="shared" si="30"/>
        <v>12220284.026388671</v>
      </c>
      <c r="K81" s="5">
        <f t="shared" si="28"/>
        <v>135047252.09944567</v>
      </c>
    </row>
    <row r="82" spans="1:11" x14ac:dyDescent="0.3">
      <c r="A82" s="2">
        <v>44834</v>
      </c>
      <c r="B82">
        <v>81</v>
      </c>
      <c r="C82" s="4">
        <v>123663451.63</v>
      </c>
      <c r="D82">
        <f t="shared" si="22"/>
        <v>112428251.55746266</v>
      </c>
      <c r="E82">
        <f t="shared" si="29"/>
        <v>114549370.2835502</v>
      </c>
      <c r="F82">
        <f t="shared" si="26"/>
        <v>114313690.42509604</v>
      </c>
      <c r="G82" s="5">
        <f t="shared" si="27"/>
        <v>9349761.2049039602</v>
      </c>
      <c r="H82">
        <v>-905323.49262911745</v>
      </c>
      <c r="I82">
        <v>0</v>
      </c>
      <c r="J82" s="5">
        <f t="shared" si="30"/>
        <v>12140523.565166451</v>
      </c>
      <c r="K82" s="5">
        <f t="shared" si="28"/>
        <v>134898651.70253733</v>
      </c>
    </row>
    <row r="83" spans="1:11" x14ac:dyDescent="0.3">
      <c r="A83" s="2">
        <v>44865</v>
      </c>
      <c r="B83">
        <v>82</v>
      </c>
      <c r="C83" s="4">
        <v>123968363.425</v>
      </c>
      <c r="D83">
        <f t="shared" si="22"/>
        <v>112899611.27437101</v>
      </c>
      <c r="E83">
        <f t="shared" si="29"/>
        <v>115020730.00045855</v>
      </c>
      <c r="F83">
        <f t="shared" si="26"/>
        <v>114785050.14200437</v>
      </c>
      <c r="G83" s="5">
        <f t="shared" si="27"/>
        <v>9183313.2829956263</v>
      </c>
      <c r="H83">
        <v>-758915.08164857491</v>
      </c>
      <c r="I83">
        <v>0</v>
      </c>
      <c r="J83" s="5">
        <f t="shared" si="30"/>
        <v>11827667.232277559</v>
      </c>
      <c r="K83" s="5">
        <f t="shared" si="28"/>
        <v>135037115.575629</v>
      </c>
    </row>
    <row r="84" spans="1:11" x14ac:dyDescent="0.3">
      <c r="A84" s="2">
        <v>44895</v>
      </c>
      <c r="B84">
        <v>83</v>
      </c>
      <c r="C84" s="4">
        <v>122202235.199</v>
      </c>
      <c r="D84">
        <f t="shared" si="22"/>
        <v>113370970.99127936</v>
      </c>
      <c r="E84">
        <f t="shared" si="29"/>
        <v>115492089.71736689</v>
      </c>
      <c r="F84">
        <f t="shared" si="26"/>
        <v>115256409.85891272</v>
      </c>
      <c r="G84" s="5">
        <f t="shared" si="27"/>
        <v>6945825.3400872797</v>
      </c>
      <c r="H84">
        <v>-762393.31466802955</v>
      </c>
      <c r="I84">
        <v>0</v>
      </c>
      <c r="J84" s="5">
        <f t="shared" si="30"/>
        <v>9593657.5223886669</v>
      </c>
      <c r="K84" s="5">
        <f t="shared" si="28"/>
        <v>131033499.40672064</v>
      </c>
    </row>
    <row r="85" spans="1:11" x14ac:dyDescent="0.3">
      <c r="A85" s="2">
        <v>44926</v>
      </c>
      <c r="B85">
        <v>84</v>
      </c>
      <c r="C85" s="4">
        <v>121387257.617</v>
      </c>
      <c r="D85">
        <f t="shared" si="22"/>
        <v>113842330.7081877</v>
      </c>
      <c r="E85">
        <f t="shared" si="29"/>
        <v>115963449.43427522</v>
      </c>
      <c r="F85">
        <f t="shared" si="26"/>
        <v>115727769.57582106</v>
      </c>
      <c r="G85" s="5">
        <f t="shared" si="27"/>
        <v>5659488.0411789417</v>
      </c>
      <c r="H85">
        <v>-583887.93757637346</v>
      </c>
      <c r="I85">
        <v>0</v>
      </c>
      <c r="J85" s="5">
        <f t="shared" si="30"/>
        <v>8128814.8463886725</v>
      </c>
      <c r="K85" s="5">
        <f t="shared" si="28"/>
        <v>128932184.5258123</v>
      </c>
    </row>
    <row r="86" spans="1:11" x14ac:dyDescent="0.3">
      <c r="A86" s="2">
        <v>44957</v>
      </c>
      <c r="B86">
        <v>85</v>
      </c>
      <c r="C86" s="4">
        <v>120617047.524</v>
      </c>
      <c r="D86">
        <f t="shared" si="22"/>
        <v>114313690.42509605</v>
      </c>
      <c r="E86">
        <f t="shared" si="29"/>
        <v>116434809.15118356</v>
      </c>
      <c r="F86">
        <f t="shared" si="26"/>
        <v>116199129.29272939</v>
      </c>
      <c r="G86" s="5">
        <f t="shared" si="27"/>
        <v>4417918.2312706113</v>
      </c>
      <c r="H86">
        <v>-2283153.8805958247</v>
      </c>
      <c r="I86">
        <v>0</v>
      </c>
      <c r="J86" s="5">
        <f t="shared" si="30"/>
        <v>8586510.9794997796</v>
      </c>
      <c r="K86" s="5">
        <f t="shared" si="28"/>
        <v>126920404.62290397</v>
      </c>
    </row>
    <row r="87" spans="1:11" x14ac:dyDescent="0.3">
      <c r="A87" s="2">
        <v>44985</v>
      </c>
      <c r="B87">
        <v>86</v>
      </c>
      <c r="C87" s="4">
        <v>118671474.33</v>
      </c>
      <c r="D87">
        <f t="shared" si="22"/>
        <v>114785050.1420044</v>
      </c>
      <c r="E87">
        <f t="shared" si="29"/>
        <v>116906168.86809193</v>
      </c>
      <c r="F87">
        <f t="shared" si="26"/>
        <v>116670489.00963774</v>
      </c>
      <c r="G87" s="5">
        <f t="shared" si="27"/>
        <v>2000985.320362255</v>
      </c>
      <c r="H87">
        <v>-2985435.1465041689</v>
      </c>
      <c r="I87">
        <v>0</v>
      </c>
      <c r="J87" s="5">
        <f>C87-D87-H87-I87</f>
        <v>6871859.3344997671</v>
      </c>
      <c r="K87" s="5">
        <f t="shared" si="28"/>
        <v>122557898.5179956</v>
      </c>
    </row>
    <row r="88" spans="1:11" x14ac:dyDescent="0.3">
      <c r="A88" s="2">
        <v>45016</v>
      </c>
      <c r="B88">
        <v>87</v>
      </c>
      <c r="C88" s="4">
        <v>117350999.833</v>
      </c>
      <c r="D88">
        <f t="shared" si="22"/>
        <v>115256409.85891274</v>
      </c>
      <c r="E88">
        <f t="shared" si="29"/>
        <v>117377528.58500032</v>
      </c>
      <c r="F88">
        <f t="shared" si="26"/>
        <v>117141848.72654612</v>
      </c>
      <c r="G88" s="5">
        <f t="shared" si="27"/>
        <v>209151.10645388067</v>
      </c>
      <c r="H88">
        <v>-2137609.50429017</v>
      </c>
      <c r="I88">
        <v>0</v>
      </c>
      <c r="J88" s="5">
        <f t="shared" ref="J88:J98" si="31">C88-D88-H88-I88</f>
        <v>4232199.4783774382</v>
      </c>
      <c r="K88" s="5">
        <f>C88+H88+I88+J88</f>
        <v>119445589.80708727</v>
      </c>
    </row>
    <row r="89" spans="1:11" x14ac:dyDescent="0.3">
      <c r="A89" s="2">
        <v>45046</v>
      </c>
      <c r="B89">
        <v>88</v>
      </c>
      <c r="C89" s="4">
        <v>117301923.051</v>
      </c>
      <c r="D89">
        <f t="shared" si="22"/>
        <v>115727769.57582107</v>
      </c>
      <c r="E89">
        <f t="shared" si="29"/>
        <v>117848888.30190866</v>
      </c>
      <c r="F89">
        <f t="shared" si="26"/>
        <v>117613208.44345449</v>
      </c>
      <c r="G89" s="5">
        <f t="shared" si="27"/>
        <v>-311285.39245449007</v>
      </c>
      <c r="H89">
        <v>-1693542.6908651805</v>
      </c>
      <c r="I89">
        <v>0</v>
      </c>
      <c r="J89" s="5">
        <f t="shared" si="31"/>
        <v>3267696.1660441076</v>
      </c>
      <c r="K89" s="5">
        <f t="shared" ref="K89:K103" si="32">C89+H89+I89+J89</f>
        <v>118876076.52617893</v>
      </c>
    </row>
    <row r="90" spans="1:11" x14ac:dyDescent="0.3">
      <c r="A90" s="2">
        <v>45077</v>
      </c>
      <c r="B90">
        <v>89</v>
      </c>
      <c r="C90" s="4">
        <v>116629245.559</v>
      </c>
      <c r="D90">
        <f t="shared" si="22"/>
        <v>116199129.29272942</v>
      </c>
      <c r="E90">
        <f t="shared" si="29"/>
        <v>118320248.01881699</v>
      </c>
      <c r="F90">
        <f t="shared" si="26"/>
        <v>118084568.16036282</v>
      </c>
      <c r="G90" s="5">
        <f t="shared" si="27"/>
        <v>-1455322.6013628244</v>
      </c>
      <c r="H90">
        <v>-395038.88799574308</v>
      </c>
      <c r="I90">
        <v>0</v>
      </c>
      <c r="J90" s="5">
        <f t="shared" si="31"/>
        <v>825155.15426632098</v>
      </c>
      <c r="K90" s="5">
        <f t="shared" si="32"/>
        <v>117059361.82527058</v>
      </c>
    </row>
    <row r="91" spans="1:11" x14ac:dyDescent="0.3">
      <c r="A91" s="2">
        <v>45107</v>
      </c>
      <c r="B91">
        <v>90</v>
      </c>
      <c r="C91" s="4">
        <v>115402118.36300001</v>
      </c>
      <c r="D91">
        <f t="shared" si="22"/>
        <v>116670489.00963777</v>
      </c>
      <c r="E91">
        <f t="shared" si="29"/>
        <v>118791607.73572534</v>
      </c>
      <c r="F91">
        <f t="shared" si="26"/>
        <v>118555927.87727118</v>
      </c>
      <c r="G91" s="5">
        <f t="shared" si="27"/>
        <v>-3153809.5142711699</v>
      </c>
      <c r="H91">
        <v>-632738.88579297566</v>
      </c>
      <c r="I91">
        <v>0</v>
      </c>
      <c r="J91" s="5">
        <f t="shared" si="31"/>
        <v>-635631.76084479189</v>
      </c>
      <c r="K91" s="5">
        <f t="shared" si="32"/>
        <v>114133747.71636224</v>
      </c>
    </row>
    <row r="92" spans="1:11" x14ac:dyDescent="0.3">
      <c r="A92" s="2">
        <v>45138</v>
      </c>
      <c r="B92">
        <v>91</v>
      </c>
      <c r="C92" s="4">
        <v>116265294.48</v>
      </c>
      <c r="D92">
        <f t="shared" si="22"/>
        <v>117141848.72654611</v>
      </c>
      <c r="E92">
        <f t="shared" si="29"/>
        <v>119262967.45263368</v>
      </c>
      <c r="F92">
        <f t="shared" si="26"/>
        <v>119027287.59417951</v>
      </c>
      <c r="G92" s="5">
        <f t="shared" si="27"/>
        <v>-2761993.1141795069</v>
      </c>
      <c r="H92">
        <v>-346453.50636798638</v>
      </c>
      <c r="I92">
        <v>0</v>
      </c>
      <c r="J92" s="5">
        <f t="shared" si="31"/>
        <v>-530100.74017811823</v>
      </c>
      <c r="K92" s="5">
        <f t="shared" si="32"/>
        <v>115388740.2334539</v>
      </c>
    </row>
    <row r="93" spans="1:11" x14ac:dyDescent="0.3">
      <c r="A93" s="2">
        <v>45169</v>
      </c>
      <c r="B93">
        <v>92</v>
      </c>
      <c r="C93" s="4">
        <v>116000022.088</v>
      </c>
      <c r="D93">
        <f t="shared" si="22"/>
        <v>117613208.44345446</v>
      </c>
      <c r="E93">
        <f t="shared" si="29"/>
        <v>119734327.16954201</v>
      </c>
      <c r="F93">
        <f t="shared" si="26"/>
        <v>119498647.31108785</v>
      </c>
      <c r="G93" s="5">
        <f t="shared" si="27"/>
        <v>-3498625.2230878472</v>
      </c>
      <c r="H93">
        <v>-675103.89694299968</v>
      </c>
      <c r="I93">
        <v>0</v>
      </c>
      <c r="J93" s="5">
        <f t="shared" si="31"/>
        <v>-938082.45851146011</v>
      </c>
      <c r="K93" s="5">
        <f t="shared" si="32"/>
        <v>114386835.73254554</v>
      </c>
    </row>
    <row r="94" spans="1:11" x14ac:dyDescent="0.3">
      <c r="A94" s="2">
        <v>45199</v>
      </c>
      <c r="B94">
        <v>93</v>
      </c>
      <c r="C94" s="4">
        <v>117151854.708</v>
      </c>
      <c r="D94">
        <f t="shared" si="22"/>
        <v>118084568.16036281</v>
      </c>
      <c r="E94">
        <f t="shared" si="29"/>
        <v>120205686.88645037</v>
      </c>
      <c r="F94">
        <f t="shared" si="26"/>
        <v>119970007.02799618</v>
      </c>
      <c r="G94" s="5">
        <f t="shared" si="27"/>
        <v>-2818152.3199961782</v>
      </c>
      <c r="H94">
        <v>-905323.49262911745</v>
      </c>
      <c r="I94">
        <v>0</v>
      </c>
      <c r="J94" s="5">
        <f t="shared" si="31"/>
        <v>-27389.959733688156</v>
      </c>
      <c r="K94" s="5">
        <f t="shared" si="32"/>
        <v>116219141.2556372</v>
      </c>
    </row>
    <row r="95" spans="1:11" x14ac:dyDescent="0.3">
      <c r="A95" s="2">
        <v>45230</v>
      </c>
      <c r="B95">
        <v>94</v>
      </c>
      <c r="C95" s="4">
        <v>117279890.53</v>
      </c>
      <c r="D95">
        <f t="shared" si="22"/>
        <v>118555927.87727115</v>
      </c>
      <c r="E95">
        <f t="shared" si="29"/>
        <v>120677046.60335869</v>
      </c>
      <c r="F95">
        <f t="shared" si="26"/>
        <v>120441366.74490452</v>
      </c>
      <c r="G95" s="5">
        <f t="shared" si="27"/>
        <v>-3161476.2149045169</v>
      </c>
      <c r="H95">
        <v>-758915.08164857491</v>
      </c>
      <c r="I95">
        <v>0</v>
      </c>
      <c r="J95" s="5">
        <f t="shared" si="31"/>
        <v>-517122.26562256948</v>
      </c>
      <c r="K95" s="5">
        <f t="shared" si="32"/>
        <v>116003853.18272886</v>
      </c>
    </row>
    <row r="96" spans="1:11" x14ac:dyDescent="0.3">
      <c r="A96" s="2">
        <v>45260</v>
      </c>
      <c r="B96">
        <v>95</v>
      </c>
      <c r="C96" s="4">
        <v>116896509.37199999</v>
      </c>
      <c r="D96">
        <f t="shared" si="22"/>
        <v>119027287.59417948</v>
      </c>
      <c r="E96">
        <f t="shared" si="29"/>
        <v>121148406.32026704</v>
      </c>
      <c r="F96">
        <f t="shared" si="26"/>
        <v>120912726.46181285</v>
      </c>
      <c r="G96" s="5">
        <f t="shared" si="27"/>
        <v>-4016217.0898128599</v>
      </c>
      <c r="H96">
        <v>-762393.31466802955</v>
      </c>
      <c r="I96">
        <v>0</v>
      </c>
      <c r="J96" s="5">
        <f t="shared" si="31"/>
        <v>-1368384.9075114578</v>
      </c>
      <c r="K96" s="5">
        <f t="shared" si="32"/>
        <v>114765731.14982051</v>
      </c>
    </row>
    <row r="97" spans="1:11" x14ac:dyDescent="0.3">
      <c r="A97" s="2">
        <v>45291</v>
      </c>
      <c r="B97">
        <v>96</v>
      </c>
      <c r="C97" s="4">
        <v>117454411.808</v>
      </c>
      <c r="D97">
        <f t="shared" si="22"/>
        <v>119498647.31108783</v>
      </c>
      <c r="E97">
        <f t="shared" si="29"/>
        <v>121619766.03717537</v>
      </c>
      <c r="F97">
        <f t="shared" si="26"/>
        <v>121384086.1787212</v>
      </c>
      <c r="G97" s="5">
        <f t="shared" si="27"/>
        <v>-3929674.3707212061</v>
      </c>
      <c r="H97">
        <v>-583887.93757637346</v>
      </c>
      <c r="I97">
        <v>0</v>
      </c>
      <c r="J97" s="5">
        <f t="shared" si="31"/>
        <v>-1460347.56551146</v>
      </c>
      <c r="K97" s="5">
        <f t="shared" si="32"/>
        <v>115410176.30491216</v>
      </c>
    </row>
    <row r="98" spans="1:11" x14ac:dyDescent="0.3">
      <c r="A98" s="2">
        <v>45322</v>
      </c>
      <c r="B98">
        <v>97</v>
      </c>
      <c r="C98" s="4">
        <v>115530060.21699999</v>
      </c>
      <c r="D98">
        <f t="shared" ref="D98:D129" si="33">$N$2+$N$3*B98</f>
        <v>119970007.02799618</v>
      </c>
      <c r="E98">
        <f t="shared" si="29"/>
        <v>122091125.75408371</v>
      </c>
      <c r="F98">
        <f t="shared" si="26"/>
        <v>121855445.89562954</v>
      </c>
      <c r="G98" s="5">
        <f t="shared" si="27"/>
        <v>-6325385.6786295474</v>
      </c>
      <c r="H98">
        <v>-2283153.8805958247</v>
      </c>
      <c r="I98">
        <v>0</v>
      </c>
      <c r="J98" s="5">
        <f t="shared" si="31"/>
        <v>-2156792.930400365</v>
      </c>
      <c r="K98" s="5">
        <f t="shared" si="32"/>
        <v>111090113.4060038</v>
      </c>
    </row>
    <row r="99" spans="1:11" x14ac:dyDescent="0.3">
      <c r="A99" s="2">
        <v>45351</v>
      </c>
      <c r="B99">
        <v>98</v>
      </c>
      <c r="C99" s="4">
        <v>114826521.373</v>
      </c>
      <c r="D99">
        <f t="shared" si="33"/>
        <v>120441366.74490452</v>
      </c>
      <c r="E99">
        <f t="shared" si="29"/>
        <v>122562485.47099204</v>
      </c>
      <c r="F99">
        <f t="shared" si="26"/>
        <v>122326805.61253788</v>
      </c>
      <c r="G99" s="5">
        <f t="shared" si="27"/>
        <v>-7500284.2395378798</v>
      </c>
      <c r="H99">
        <v>-2985435.1465041689</v>
      </c>
      <c r="I99">
        <v>0</v>
      </c>
      <c r="J99" s="5">
        <f>C99-D99-H99-I99</f>
        <v>-2629410.2254003533</v>
      </c>
      <c r="K99" s="5">
        <f t="shared" si="32"/>
        <v>109211676.00109547</v>
      </c>
    </row>
    <row r="100" spans="1:11" x14ac:dyDescent="0.3">
      <c r="A100" s="2">
        <v>45382</v>
      </c>
      <c r="B100">
        <v>99</v>
      </c>
      <c r="C100" s="4">
        <v>113363382.016</v>
      </c>
      <c r="D100">
        <f t="shared" si="33"/>
        <v>120912726.46181287</v>
      </c>
      <c r="E100">
        <f t="shared" si="29"/>
        <v>123033845.18790041</v>
      </c>
      <c r="F100">
        <f t="shared" si="26"/>
        <v>122798165.32944623</v>
      </c>
      <c r="G100" s="5">
        <f t="shared" si="27"/>
        <v>-9434783.3134462237</v>
      </c>
      <c r="H100">
        <v>-2137609.50429017</v>
      </c>
      <c r="I100">
        <v>0</v>
      </c>
      <c r="J100" s="5">
        <f t="shared" ref="J100:J113" si="34">C100-D100-H100-I100</f>
        <v>-5411734.9415226961</v>
      </c>
      <c r="K100" s="5">
        <f t="shared" si="32"/>
        <v>105814037.57018714</v>
      </c>
    </row>
    <row r="101" spans="1:11" x14ac:dyDescent="0.3">
      <c r="A101" s="2">
        <v>45412</v>
      </c>
      <c r="B101">
        <v>100</v>
      </c>
      <c r="C101" s="4">
        <v>117241679.723</v>
      </c>
      <c r="D101">
        <f t="shared" si="33"/>
        <v>121384086.17872122</v>
      </c>
      <c r="E101">
        <f t="shared" si="29"/>
        <v>123505204.90480874</v>
      </c>
      <c r="F101">
        <f t="shared" si="26"/>
        <v>123269525.04635458</v>
      </c>
      <c r="G101" s="5">
        <f t="shared" si="27"/>
        <v>-6027845.3233545721</v>
      </c>
      <c r="H101">
        <v>-1693542.6908651805</v>
      </c>
      <c r="I101">
        <v>0</v>
      </c>
      <c r="J101" s="5">
        <f t="shared" si="34"/>
        <v>-2448863.764856034</v>
      </c>
      <c r="K101" s="5">
        <f t="shared" si="32"/>
        <v>113099273.26727879</v>
      </c>
    </row>
    <row r="102" spans="1:11" x14ac:dyDescent="0.3">
      <c r="A102" s="2">
        <v>45443</v>
      </c>
      <c r="B102">
        <v>101</v>
      </c>
      <c r="C102" s="4">
        <v>118321886.148</v>
      </c>
      <c r="D102">
        <f t="shared" si="33"/>
        <v>121855445.89562955</v>
      </c>
      <c r="E102">
        <f t="shared" si="29"/>
        <v>123976564.62171711</v>
      </c>
      <c r="F102">
        <f t="shared" si="26"/>
        <v>123740884.76326293</v>
      </c>
      <c r="G102" s="5">
        <f t="shared" si="27"/>
        <v>-5418998.6152629256</v>
      </c>
      <c r="H102">
        <v>-395038.88799574308</v>
      </c>
      <c r="I102">
        <v>0</v>
      </c>
      <c r="J102" s="5">
        <f t="shared" si="34"/>
        <v>-3138520.8596338099</v>
      </c>
      <c r="K102" s="5">
        <f t="shared" si="32"/>
        <v>114788326.40037045</v>
      </c>
    </row>
    <row r="103" spans="1:11" x14ac:dyDescent="0.3">
      <c r="A103" s="2">
        <v>45473</v>
      </c>
      <c r="B103">
        <v>102</v>
      </c>
      <c r="C103" s="4">
        <v>119146866.31299999</v>
      </c>
      <c r="D103">
        <f t="shared" si="33"/>
        <v>122326805.61253789</v>
      </c>
      <c r="E103">
        <f t="shared" si="29"/>
        <v>124447924.33862543</v>
      </c>
      <c r="F103">
        <f t="shared" si="26"/>
        <v>124212244.48017126</v>
      </c>
      <c r="G103" s="5">
        <f t="shared" si="27"/>
        <v>-5065378.1671712697</v>
      </c>
      <c r="H103">
        <v>-632738.88579297566</v>
      </c>
      <c r="I103">
        <v>0</v>
      </c>
      <c r="J103" s="5">
        <f t="shared" si="34"/>
        <v>-2547200.4137449213</v>
      </c>
      <c r="K103" s="5">
        <f t="shared" si="32"/>
        <v>115966927.0134621</v>
      </c>
    </row>
    <row r="104" spans="1:11" x14ac:dyDescent="0.3">
      <c r="A104" s="2">
        <v>45504</v>
      </c>
      <c r="B104">
        <v>103</v>
      </c>
      <c r="C104" s="4">
        <v>116503047.82799999</v>
      </c>
      <c r="D104">
        <f t="shared" si="33"/>
        <v>122798165.32944624</v>
      </c>
      <c r="E104">
        <f t="shared" si="29"/>
        <v>124919284.05553378</v>
      </c>
      <c r="F104">
        <f t="shared" si="26"/>
        <v>124683604.1970796</v>
      </c>
      <c r="G104" s="5">
        <f t="shared" si="27"/>
        <v>-8180556.3690796047</v>
      </c>
      <c r="H104">
        <v>-346453.50636798638</v>
      </c>
      <c r="I104">
        <v>0</v>
      </c>
      <c r="J104" s="5">
        <f t="shared" si="34"/>
        <v>-5948663.995078261</v>
      </c>
      <c r="K104" s="5">
        <f>C104+H104+I104+J104</f>
        <v>110207930.32655375</v>
      </c>
    </row>
    <row r="105" spans="1:11" x14ac:dyDescent="0.3">
      <c r="A105" s="2">
        <v>45535</v>
      </c>
      <c r="B105">
        <v>104</v>
      </c>
      <c r="C105" s="4">
        <v>116155290.374</v>
      </c>
      <c r="D105">
        <f t="shared" si="33"/>
        <v>123269525.04635459</v>
      </c>
      <c r="E105">
        <f t="shared" si="29"/>
        <v>125390643.77244215</v>
      </c>
      <c r="F105">
        <f t="shared" si="26"/>
        <v>125154963.91398796</v>
      </c>
      <c r="G105" s="5">
        <f t="shared" si="27"/>
        <v>-8999673.5399879664</v>
      </c>
      <c r="H105">
        <v>-675103.89694299968</v>
      </c>
      <c r="I105">
        <v>0</v>
      </c>
      <c r="J105" s="5">
        <f t="shared" si="34"/>
        <v>-6439130.7754115947</v>
      </c>
      <c r="K105" s="5">
        <f t="shared" ref="K105:K120" si="35">C105+H105+I105+J105</f>
        <v>109041055.7016454</v>
      </c>
    </row>
    <row r="106" spans="1:11" x14ac:dyDescent="0.3">
      <c r="A106" s="2">
        <v>45565</v>
      </c>
      <c r="B106">
        <v>105</v>
      </c>
      <c r="C106" s="4">
        <v>116046451.78399999</v>
      </c>
      <c r="D106">
        <f t="shared" si="33"/>
        <v>123740884.76326293</v>
      </c>
      <c r="E106">
        <f t="shared" si="29"/>
        <v>125862003.48935048</v>
      </c>
      <c r="F106">
        <f t="shared" si="26"/>
        <v>125626323.63089631</v>
      </c>
      <c r="G106" s="5">
        <f t="shared" si="27"/>
        <v>-9579871.8468963206</v>
      </c>
      <c r="H106">
        <v>-905323.49262911745</v>
      </c>
      <c r="I106">
        <v>0</v>
      </c>
      <c r="J106" s="5">
        <f t="shared" si="34"/>
        <v>-6789109.4866338158</v>
      </c>
      <c r="K106" s="5">
        <f t="shared" si="35"/>
        <v>108352018.80473706</v>
      </c>
    </row>
    <row r="107" spans="1:11" x14ac:dyDescent="0.3">
      <c r="A107" s="2">
        <v>45596</v>
      </c>
      <c r="B107">
        <v>106</v>
      </c>
      <c r="C107" s="4">
        <v>116836696.25399999</v>
      </c>
      <c r="D107">
        <f t="shared" si="33"/>
        <v>124212244.48017128</v>
      </c>
      <c r="E107">
        <f t="shared" si="29"/>
        <v>126333363.20625885</v>
      </c>
      <c r="F107">
        <f t="shared" si="26"/>
        <v>126097683.34780467</v>
      </c>
      <c r="G107" s="5">
        <f t="shared" si="27"/>
        <v>-9260987.0938046724</v>
      </c>
      <c r="H107">
        <v>-758915.08164857491</v>
      </c>
      <c r="I107">
        <v>0</v>
      </c>
      <c r="J107" s="5">
        <f t="shared" si="34"/>
        <v>-6616633.1445227098</v>
      </c>
      <c r="K107" s="5">
        <f t="shared" si="35"/>
        <v>109461148.02782871</v>
      </c>
    </row>
    <row r="108" spans="1:11" x14ac:dyDescent="0.3">
      <c r="A108" s="2">
        <v>45626</v>
      </c>
      <c r="B108">
        <v>107</v>
      </c>
      <c r="C108" s="4">
        <v>118362055.68799999</v>
      </c>
      <c r="D108">
        <f t="shared" si="33"/>
        <v>124683604.19707963</v>
      </c>
      <c r="E108">
        <f t="shared" si="29"/>
        <v>126804722.92316717</v>
      </c>
      <c r="F108">
        <f t="shared" si="26"/>
        <v>126569043.064713</v>
      </c>
      <c r="G108" s="5">
        <f t="shared" si="27"/>
        <v>-8206987.3767130077</v>
      </c>
      <c r="H108">
        <v>-762393.31466802955</v>
      </c>
      <c r="I108">
        <v>0</v>
      </c>
      <c r="J108" s="5">
        <f t="shared" si="34"/>
        <v>-5559155.1944116056</v>
      </c>
      <c r="K108" s="5">
        <f t="shared" si="35"/>
        <v>112040507.17892036</v>
      </c>
    </row>
    <row r="109" spans="1:11" x14ac:dyDescent="0.3">
      <c r="A109" s="2">
        <v>45657</v>
      </c>
      <c r="B109">
        <v>108</v>
      </c>
      <c r="C109" s="4">
        <v>118538759.118</v>
      </c>
      <c r="D109">
        <f t="shared" si="33"/>
        <v>125154963.91398796</v>
      </c>
      <c r="E109">
        <f t="shared" si="29"/>
        <v>127276082.64007552</v>
      </c>
      <c r="F109">
        <f t="shared" si="26"/>
        <v>127040402.78162134</v>
      </c>
      <c r="G109" s="5">
        <f t="shared" si="27"/>
        <v>-8501643.6636213362</v>
      </c>
      <c r="H109">
        <v>-583887.93757637346</v>
      </c>
      <c r="I109">
        <v>0</v>
      </c>
      <c r="J109" s="5">
        <f t="shared" si="34"/>
        <v>-6032316.8584115906</v>
      </c>
      <c r="K109" s="5">
        <f t="shared" si="35"/>
        <v>111922554.32201204</v>
      </c>
    </row>
    <row r="110" spans="1:11" x14ac:dyDescent="0.3">
      <c r="A110" s="2">
        <v>45688</v>
      </c>
      <c r="B110">
        <v>109</v>
      </c>
      <c r="C110" s="4">
        <v>118136212.704</v>
      </c>
      <c r="D110">
        <f t="shared" si="33"/>
        <v>125626323.6308963</v>
      </c>
      <c r="E110">
        <f t="shared" si="29"/>
        <v>127747442.35698384</v>
      </c>
      <c r="F110">
        <f t="shared" si="26"/>
        <v>127511762.49852967</v>
      </c>
      <c r="G110" s="5">
        <f t="shared" si="27"/>
        <v>-9375549.7945296764</v>
      </c>
      <c r="H110">
        <v>-2283153.8805958247</v>
      </c>
      <c r="I110">
        <v>0</v>
      </c>
      <c r="J110" s="5">
        <f t="shared" si="34"/>
        <v>-5206957.0463004792</v>
      </c>
      <c r="K110" s="5">
        <f t="shared" si="35"/>
        <v>110646101.77710369</v>
      </c>
    </row>
    <row r="111" spans="1:11" x14ac:dyDescent="0.3">
      <c r="A111" s="2">
        <v>45716</v>
      </c>
      <c r="B111">
        <v>110</v>
      </c>
      <c r="C111" s="4">
        <v>119379072.09199999</v>
      </c>
      <c r="D111">
        <f t="shared" si="33"/>
        <v>126097683.34780465</v>
      </c>
      <c r="E111">
        <f t="shared" si="29"/>
        <v>128218802.07389219</v>
      </c>
      <c r="F111">
        <f t="shared" si="26"/>
        <v>127983122.21543801</v>
      </c>
      <c r="G111" s="5">
        <f>C111-F111</f>
        <v>-8604050.1234380156</v>
      </c>
      <c r="H111">
        <v>-2985435.1465041689</v>
      </c>
      <c r="I111">
        <v>0</v>
      </c>
      <c r="J111" s="5">
        <f t="shared" si="34"/>
        <v>-3733176.1093004891</v>
      </c>
      <c r="K111" s="5">
        <f t="shared" si="35"/>
        <v>112660460.83619533</v>
      </c>
    </row>
    <row r="112" spans="1:11" x14ac:dyDescent="0.3">
      <c r="A112" s="2">
        <v>45747</v>
      </c>
      <c r="B112">
        <v>111</v>
      </c>
      <c r="C112" s="4">
        <v>117477731.869</v>
      </c>
      <c r="D112">
        <f t="shared" si="33"/>
        <v>126569043.064713</v>
      </c>
      <c r="H112">
        <v>-2137609.50429017</v>
      </c>
      <c r="I112">
        <v>0</v>
      </c>
      <c r="J112" s="5">
        <f t="shared" si="34"/>
        <v>-6953701.6914228285</v>
      </c>
      <c r="K112" s="5">
        <f t="shared" si="35"/>
        <v>108386420.673287</v>
      </c>
    </row>
    <row r="113" spans="1:11" x14ac:dyDescent="0.3">
      <c r="A113" s="2">
        <v>45777</v>
      </c>
      <c r="B113">
        <v>112</v>
      </c>
      <c r="C113" s="4">
        <v>119596781.40700001</v>
      </c>
      <c r="D113">
        <f t="shared" si="33"/>
        <v>127040402.78162134</v>
      </c>
      <c r="H113">
        <v>-1693542.6908651805</v>
      </c>
      <c r="I113">
        <v>0</v>
      </c>
      <c r="J113" s="5">
        <f t="shared" si="34"/>
        <v>-5750078.6837561512</v>
      </c>
      <c r="K113" s="5">
        <f t="shared" si="35"/>
        <v>112153160.03237867</v>
      </c>
    </row>
    <row r="114" spans="1:11" x14ac:dyDescent="0.3">
      <c r="A114" s="2">
        <v>45808</v>
      </c>
      <c r="B114">
        <v>113</v>
      </c>
      <c r="C114" s="4">
        <v>119858418.09100001</v>
      </c>
      <c r="D114">
        <f t="shared" si="33"/>
        <v>127511762.49852969</v>
      </c>
      <c r="H114">
        <v>-395038.88799574308</v>
      </c>
      <c r="I114">
        <v>0</v>
      </c>
      <c r="J114" s="5">
        <f>C114-D114-H114-I114</f>
        <v>-7258305.5195339387</v>
      </c>
      <c r="K114" s="5">
        <f t="shared" si="35"/>
        <v>112205073.68347032</v>
      </c>
    </row>
    <row r="115" spans="1:11" x14ac:dyDescent="0.3">
      <c r="A115" s="2">
        <v>45838</v>
      </c>
      <c r="B115">
        <v>114</v>
      </c>
      <c r="C115" s="4">
        <v>119201532.714</v>
      </c>
      <c r="D115">
        <f t="shared" si="33"/>
        <v>127983122.21543804</v>
      </c>
      <c r="H115">
        <v>-632738.88579297566</v>
      </c>
      <c r="I115">
        <v>0</v>
      </c>
      <c r="J115" s="5">
        <f t="shared" ref="J115:J121" si="36">C115-D115-H115-I115</f>
        <v>-8148850.6156450612</v>
      </c>
      <c r="K115" s="5">
        <f t="shared" si="35"/>
        <v>110419943.21256196</v>
      </c>
    </row>
    <row r="116" spans="1:11" x14ac:dyDescent="0.3">
      <c r="A116" s="2">
        <v>45869</v>
      </c>
      <c r="B116">
        <v>115</v>
      </c>
      <c r="C116" s="4">
        <v>121422661.361</v>
      </c>
      <c r="D116">
        <f t="shared" si="33"/>
        <v>128454481.93234637</v>
      </c>
      <c r="H116">
        <v>-346453.50636798638</v>
      </c>
      <c r="I116">
        <v>0</v>
      </c>
      <c r="J116" s="5">
        <f t="shared" si="36"/>
        <v>-6685367.0649783863</v>
      </c>
      <c r="K116" s="5">
        <f t="shared" si="35"/>
        <v>114390840.78965363</v>
      </c>
    </row>
    <row r="117" spans="1:11" x14ac:dyDescent="0.3">
      <c r="A117" s="2">
        <v>45900</v>
      </c>
      <c r="B117">
        <v>116</v>
      </c>
      <c r="C117" s="4">
        <v>121846762.36499999</v>
      </c>
      <c r="D117">
        <f t="shared" si="33"/>
        <v>128925841.64925471</v>
      </c>
      <c r="H117">
        <v>-675103.89694299968</v>
      </c>
      <c r="I117">
        <v>0</v>
      </c>
      <c r="J117" s="5">
        <f t="shared" si="36"/>
        <v>-6403975.3873117156</v>
      </c>
      <c r="K117" s="5">
        <f t="shared" si="35"/>
        <v>114767683.08074528</v>
      </c>
    </row>
    <row r="118" spans="1:11" x14ac:dyDescent="0.3">
      <c r="A118" s="2">
        <v>45930</v>
      </c>
      <c r="B118">
        <v>117</v>
      </c>
      <c r="C118" s="4">
        <v>121298103.61499999</v>
      </c>
      <c r="D118">
        <f t="shared" si="33"/>
        <v>129397201.36616306</v>
      </c>
      <c r="H118">
        <v>-905323.49262911745</v>
      </c>
      <c r="I118">
        <v>0</v>
      </c>
      <c r="J118" s="5">
        <f t="shared" si="36"/>
        <v>-7193774.2585339481</v>
      </c>
      <c r="K118" s="5">
        <f t="shared" si="35"/>
        <v>113199005.86383693</v>
      </c>
    </row>
    <row r="119" spans="1:11" x14ac:dyDescent="0.3">
      <c r="A119" s="2">
        <v>45961</v>
      </c>
      <c r="B119">
        <v>118</v>
      </c>
      <c r="C119" s="4">
        <v>120975652.572</v>
      </c>
      <c r="D119">
        <f t="shared" si="33"/>
        <v>129868561.08307141</v>
      </c>
      <c r="H119">
        <v>-758915.08164857491</v>
      </c>
      <c r="I119">
        <v>0</v>
      </c>
      <c r="J119" s="5">
        <f t="shared" si="36"/>
        <v>-8133993.4294228386</v>
      </c>
      <c r="K119" s="5">
        <f t="shared" si="35"/>
        <v>112082744.06092858</v>
      </c>
    </row>
    <row r="120" spans="1:11" x14ac:dyDescent="0.3">
      <c r="A120" s="2">
        <v>45991</v>
      </c>
      <c r="B120">
        <v>119</v>
      </c>
      <c r="C120" s="4">
        <v>121000184.23999999</v>
      </c>
      <c r="D120">
        <f t="shared" si="33"/>
        <v>130339920.79997975</v>
      </c>
      <c r="H120">
        <v>-762393.31466802955</v>
      </c>
      <c r="I120">
        <v>0</v>
      </c>
      <c r="J120" s="5">
        <f t="shared" si="36"/>
        <v>-8577343.2453117222</v>
      </c>
      <c r="K120" s="5">
        <f t="shared" si="35"/>
        <v>111660447.68002024</v>
      </c>
    </row>
    <row r="121" spans="1:11" x14ac:dyDescent="0.3">
      <c r="A121" s="2">
        <v>46022</v>
      </c>
      <c r="B121">
        <v>120</v>
      </c>
      <c r="C121" s="4">
        <v>123642499.164</v>
      </c>
      <c r="D121">
        <f t="shared" si="33"/>
        <v>130811280.5168881</v>
      </c>
      <c r="H121">
        <v>-583887.93757637346</v>
      </c>
      <c r="I121">
        <v>0</v>
      </c>
      <c r="J121" s="5">
        <f t="shared" si="36"/>
        <v>-6584893.4153117193</v>
      </c>
      <c r="K121" s="5">
        <f>C121+H121+I121+J121</f>
        <v>116473717.81111191</v>
      </c>
    </row>
    <row r="122" spans="1:11" x14ac:dyDescent="0.3">
      <c r="A122" s="2">
        <v>46053</v>
      </c>
      <c r="B122" s="7">
        <v>121</v>
      </c>
      <c r="D122">
        <f t="shared" si="33"/>
        <v>131282640.23379645</v>
      </c>
      <c r="H122">
        <v>-2283153.8805958247</v>
      </c>
      <c r="K122">
        <f>D122+H122</f>
        <v>128999486.35320063</v>
      </c>
    </row>
    <row r="123" spans="1:11" x14ac:dyDescent="0.3">
      <c r="A123" s="2">
        <v>46081</v>
      </c>
      <c r="B123" s="7">
        <v>122</v>
      </c>
      <c r="D123">
        <f t="shared" si="33"/>
        <v>131753999.95070478</v>
      </c>
      <c r="H123">
        <v>-2985435.1465041689</v>
      </c>
      <c r="K123">
        <f t="shared" ref="K123:K157" si="37">D123+H123</f>
        <v>128768564.80420062</v>
      </c>
    </row>
    <row r="124" spans="1:11" x14ac:dyDescent="0.3">
      <c r="A124" s="2">
        <v>46112</v>
      </c>
      <c r="B124" s="7">
        <v>123</v>
      </c>
      <c r="D124">
        <f t="shared" si="33"/>
        <v>132225359.66761312</v>
      </c>
      <c r="H124">
        <v>-2137609.50429017</v>
      </c>
      <c r="K124">
        <f t="shared" si="37"/>
        <v>130087750.16332296</v>
      </c>
    </row>
    <row r="125" spans="1:11" x14ac:dyDescent="0.3">
      <c r="A125" s="2">
        <v>46142</v>
      </c>
      <c r="B125" s="7">
        <v>124</v>
      </c>
      <c r="D125">
        <f t="shared" si="33"/>
        <v>132696719.38452147</v>
      </c>
      <c r="H125">
        <v>-1693542.6908651805</v>
      </c>
      <c r="K125">
        <f t="shared" si="37"/>
        <v>131003176.6936563</v>
      </c>
    </row>
    <row r="126" spans="1:11" x14ac:dyDescent="0.3">
      <c r="A126" s="2">
        <v>46173</v>
      </c>
      <c r="B126" s="7">
        <v>125</v>
      </c>
      <c r="D126">
        <f t="shared" si="33"/>
        <v>133168079.10142982</v>
      </c>
      <c r="H126">
        <v>-395038.88799574308</v>
      </c>
      <c r="K126">
        <f t="shared" si="37"/>
        <v>132773040.21343407</v>
      </c>
    </row>
    <row r="127" spans="1:11" x14ac:dyDescent="0.3">
      <c r="A127" s="2">
        <v>46203</v>
      </c>
      <c r="B127" s="7">
        <v>126</v>
      </c>
      <c r="D127">
        <f t="shared" si="33"/>
        <v>133639438.81833816</v>
      </c>
      <c r="H127">
        <v>-632738.88579297566</v>
      </c>
      <c r="K127">
        <f t="shared" si="37"/>
        <v>133006699.93254519</v>
      </c>
    </row>
    <row r="128" spans="1:11" x14ac:dyDescent="0.3">
      <c r="A128" s="2">
        <v>46234</v>
      </c>
      <c r="B128" s="7">
        <v>127</v>
      </c>
      <c r="D128">
        <f t="shared" si="33"/>
        <v>134110798.53524651</v>
      </c>
      <c r="H128">
        <v>-346453.50636798638</v>
      </c>
      <c r="K128">
        <f t="shared" si="37"/>
        <v>133764345.02887852</v>
      </c>
    </row>
    <row r="129" spans="1:11" x14ac:dyDescent="0.3">
      <c r="A129" s="2">
        <v>46265</v>
      </c>
      <c r="B129" s="7">
        <v>128</v>
      </c>
      <c r="D129">
        <f t="shared" si="33"/>
        <v>134582158.25215486</v>
      </c>
      <c r="H129">
        <v>-675103.89694299968</v>
      </c>
      <c r="K129">
        <f t="shared" si="37"/>
        <v>133907054.35521185</v>
      </c>
    </row>
    <row r="130" spans="1:11" x14ac:dyDescent="0.3">
      <c r="A130" s="2">
        <v>46295</v>
      </c>
      <c r="B130" s="7">
        <v>129</v>
      </c>
      <c r="D130">
        <f t="shared" ref="D130:D137" si="38">$N$2+$N$3*B130</f>
        <v>135053517.96906319</v>
      </c>
      <c r="H130">
        <v>-905323.49262911745</v>
      </c>
      <c r="K130">
        <f t="shared" si="37"/>
        <v>134148194.47643408</v>
      </c>
    </row>
    <row r="131" spans="1:11" x14ac:dyDescent="0.3">
      <c r="A131" s="2">
        <v>46326</v>
      </c>
      <c r="B131" s="7">
        <v>130</v>
      </c>
      <c r="D131">
        <f t="shared" si="38"/>
        <v>135524877.68597153</v>
      </c>
      <c r="H131">
        <v>-758915.08164857491</v>
      </c>
      <c r="K131">
        <f t="shared" si="37"/>
        <v>134765962.60432294</v>
      </c>
    </row>
    <row r="132" spans="1:11" x14ac:dyDescent="0.3">
      <c r="A132" s="2">
        <v>46356</v>
      </c>
      <c r="B132" s="7">
        <v>131</v>
      </c>
      <c r="D132">
        <f t="shared" si="38"/>
        <v>135996237.40287989</v>
      </c>
      <c r="H132">
        <v>-762393.31466802955</v>
      </c>
      <c r="K132">
        <f t="shared" si="37"/>
        <v>135233844.08821186</v>
      </c>
    </row>
    <row r="133" spans="1:11" x14ac:dyDescent="0.3">
      <c r="A133" s="2">
        <v>46387</v>
      </c>
      <c r="B133" s="7">
        <v>132</v>
      </c>
      <c r="D133">
        <f t="shared" si="38"/>
        <v>136467597.11978823</v>
      </c>
      <c r="H133">
        <v>-583887.93757637346</v>
      </c>
      <c r="K133">
        <f t="shared" si="37"/>
        <v>135883709.18221185</v>
      </c>
    </row>
    <row r="134" spans="1:11" x14ac:dyDescent="0.3">
      <c r="A134" s="2">
        <v>46418</v>
      </c>
      <c r="B134" s="7">
        <v>133</v>
      </c>
      <c r="D134">
        <f t="shared" si="38"/>
        <v>136938956.83669657</v>
      </c>
      <c r="H134">
        <v>-2283153.8805958247</v>
      </c>
      <c r="K134">
        <f>D134+H134</f>
        <v>134655802.95610073</v>
      </c>
    </row>
    <row r="135" spans="1:11" x14ac:dyDescent="0.3">
      <c r="A135" s="2">
        <v>46446</v>
      </c>
      <c r="B135" s="7">
        <v>134</v>
      </c>
      <c r="D135">
        <f t="shared" si="38"/>
        <v>137410316.5536049</v>
      </c>
      <c r="H135">
        <v>-2985435.1465041689</v>
      </c>
      <c r="K135">
        <f t="shared" si="37"/>
        <v>134424881.40710074</v>
      </c>
    </row>
    <row r="136" spans="1:11" x14ac:dyDescent="0.3">
      <c r="A136" s="2">
        <v>46477</v>
      </c>
      <c r="B136" s="7">
        <v>135</v>
      </c>
      <c r="D136">
        <f t="shared" si="38"/>
        <v>137881676.27051327</v>
      </c>
      <c r="H136">
        <v>-2137609.50429017</v>
      </c>
      <c r="K136">
        <f t="shared" si="37"/>
        <v>135744066.7662231</v>
      </c>
    </row>
    <row r="137" spans="1:11" x14ac:dyDescent="0.3">
      <c r="A137" s="2">
        <v>46507</v>
      </c>
      <c r="B137" s="7">
        <v>136</v>
      </c>
      <c r="D137">
        <f t="shared" si="38"/>
        <v>138353035.9874216</v>
      </c>
      <c r="H137">
        <v>-1693542.6908651805</v>
      </c>
      <c r="K137">
        <f t="shared" si="37"/>
        <v>136659493.29655641</v>
      </c>
    </row>
    <row r="138" spans="1:11" x14ac:dyDescent="0.3">
      <c r="A138" s="2">
        <v>46538</v>
      </c>
      <c r="B138" s="7">
        <v>137</v>
      </c>
      <c r="D138">
        <f t="shared" ref="D138:D157" si="39">$N$2+$N$3*B138</f>
        <v>138824395.70432994</v>
      </c>
      <c r="H138">
        <v>-395038.88799574308</v>
      </c>
      <c r="K138">
        <f t="shared" si="37"/>
        <v>138429356.81633419</v>
      </c>
    </row>
    <row r="139" spans="1:11" x14ac:dyDescent="0.3">
      <c r="A139" s="2">
        <v>46568</v>
      </c>
      <c r="B139" s="7">
        <v>138</v>
      </c>
      <c r="D139">
        <f t="shared" si="39"/>
        <v>139295755.4212383</v>
      </c>
      <c r="H139">
        <v>-632738.88579297566</v>
      </c>
      <c r="K139">
        <f t="shared" si="37"/>
        <v>138663016.53544533</v>
      </c>
    </row>
    <row r="140" spans="1:11" x14ac:dyDescent="0.3">
      <c r="A140" s="2">
        <v>46599</v>
      </c>
      <c r="B140" s="7">
        <v>139</v>
      </c>
      <c r="D140">
        <f t="shared" si="39"/>
        <v>139767115.13814664</v>
      </c>
      <c r="H140">
        <v>-346453.50636798638</v>
      </c>
      <c r="K140">
        <f t="shared" si="37"/>
        <v>139420661.63177866</v>
      </c>
    </row>
    <row r="141" spans="1:11" x14ac:dyDescent="0.3">
      <c r="A141" s="2">
        <v>46630</v>
      </c>
      <c r="B141" s="7">
        <v>140</v>
      </c>
      <c r="D141">
        <f t="shared" si="39"/>
        <v>140238474.85505497</v>
      </c>
      <c r="H141">
        <v>-675103.89694299968</v>
      </c>
      <c r="K141">
        <f t="shared" si="37"/>
        <v>139563370.95811197</v>
      </c>
    </row>
    <row r="142" spans="1:11" x14ac:dyDescent="0.3">
      <c r="A142" s="2">
        <v>46660</v>
      </c>
      <c r="B142" s="7">
        <v>141</v>
      </c>
      <c r="D142">
        <f t="shared" si="39"/>
        <v>140709834.57196331</v>
      </c>
      <c r="H142">
        <v>-905323.49262911745</v>
      </c>
      <c r="K142">
        <f t="shared" si="37"/>
        <v>139804511.0793342</v>
      </c>
    </row>
    <row r="143" spans="1:11" x14ac:dyDescent="0.3">
      <c r="A143" s="2">
        <v>46691</v>
      </c>
      <c r="B143" s="7">
        <v>142</v>
      </c>
      <c r="D143">
        <f t="shared" si="39"/>
        <v>141181194.28887168</v>
      </c>
      <c r="H143">
        <v>-758915.08164857491</v>
      </c>
      <c r="K143">
        <f t="shared" si="37"/>
        <v>140422279.20722309</v>
      </c>
    </row>
    <row r="144" spans="1:11" x14ac:dyDescent="0.3">
      <c r="A144" s="2">
        <v>46721</v>
      </c>
      <c r="B144" s="7">
        <v>143</v>
      </c>
      <c r="D144">
        <f t="shared" si="39"/>
        <v>141652554.00578001</v>
      </c>
      <c r="H144">
        <v>-762393.31466802955</v>
      </c>
      <c r="K144">
        <f t="shared" si="37"/>
        <v>140890160.69111198</v>
      </c>
    </row>
    <row r="145" spans="1:11" x14ac:dyDescent="0.3">
      <c r="A145" s="2">
        <v>46752</v>
      </c>
      <c r="B145" s="7">
        <v>144</v>
      </c>
      <c r="D145">
        <f t="shared" si="39"/>
        <v>142123913.72268838</v>
      </c>
      <c r="H145">
        <v>-583887.93757637346</v>
      </c>
      <c r="K145">
        <f t="shared" si="37"/>
        <v>141540025.78511199</v>
      </c>
    </row>
    <row r="146" spans="1:11" x14ac:dyDescent="0.3">
      <c r="A146" s="2">
        <v>46783</v>
      </c>
      <c r="B146" s="7">
        <v>145</v>
      </c>
      <c r="D146">
        <f t="shared" si="39"/>
        <v>142595273.43959671</v>
      </c>
      <c r="H146">
        <v>-2283153.8805958247</v>
      </c>
      <c r="K146">
        <f t="shared" si="37"/>
        <v>140312119.55900088</v>
      </c>
    </row>
    <row r="147" spans="1:11" x14ac:dyDescent="0.3">
      <c r="A147" s="2">
        <v>46812</v>
      </c>
      <c r="B147" s="7">
        <v>146</v>
      </c>
      <c r="D147">
        <f t="shared" si="39"/>
        <v>143066633.15650505</v>
      </c>
      <c r="H147">
        <v>-2985435.1465041689</v>
      </c>
      <c r="K147">
        <f t="shared" si="37"/>
        <v>140081198.01000088</v>
      </c>
    </row>
    <row r="148" spans="1:11" x14ac:dyDescent="0.3">
      <c r="A148" s="2">
        <v>46843</v>
      </c>
      <c r="B148" s="7">
        <v>147</v>
      </c>
      <c r="D148">
        <f t="shared" si="39"/>
        <v>143537992.87341338</v>
      </c>
      <c r="H148">
        <v>-2137609.50429017</v>
      </c>
      <c r="K148">
        <f t="shared" si="37"/>
        <v>141400383.36912322</v>
      </c>
    </row>
    <row r="149" spans="1:11" x14ac:dyDescent="0.3">
      <c r="A149" s="2">
        <v>46873</v>
      </c>
      <c r="B149" s="7">
        <v>148</v>
      </c>
      <c r="D149">
        <f t="shared" si="39"/>
        <v>144009352.59032172</v>
      </c>
      <c r="H149">
        <v>-1693542.6908651805</v>
      </c>
      <c r="K149">
        <f t="shared" si="37"/>
        <v>142315809.89945653</v>
      </c>
    </row>
    <row r="150" spans="1:11" x14ac:dyDescent="0.3">
      <c r="A150" s="2">
        <v>46904</v>
      </c>
      <c r="B150" s="7">
        <v>149</v>
      </c>
      <c r="D150">
        <f t="shared" si="39"/>
        <v>144480712.30723009</v>
      </c>
      <c r="H150">
        <v>-395038.88799574308</v>
      </c>
      <c r="K150">
        <f t="shared" si="37"/>
        <v>144085673.41923434</v>
      </c>
    </row>
    <row r="151" spans="1:11" x14ac:dyDescent="0.3">
      <c r="A151" s="2">
        <v>46934</v>
      </c>
      <c r="B151" s="7">
        <v>150</v>
      </c>
      <c r="D151">
        <f t="shared" si="39"/>
        <v>144952072.02413842</v>
      </c>
      <c r="H151">
        <v>-632738.88579297566</v>
      </c>
      <c r="K151">
        <f t="shared" si="37"/>
        <v>144319333.13834545</v>
      </c>
    </row>
    <row r="152" spans="1:11" x14ac:dyDescent="0.3">
      <c r="A152" s="2">
        <v>46965</v>
      </c>
      <c r="B152" s="7">
        <v>151</v>
      </c>
      <c r="D152">
        <f t="shared" si="39"/>
        <v>145423431.74104679</v>
      </c>
      <c r="H152">
        <v>-346453.50636798638</v>
      </c>
      <c r="K152">
        <f t="shared" si="37"/>
        <v>145076978.2346788</v>
      </c>
    </row>
    <row r="153" spans="1:11" x14ac:dyDescent="0.3">
      <c r="A153" s="2">
        <v>46996</v>
      </c>
      <c r="B153" s="7">
        <v>152</v>
      </c>
      <c r="D153">
        <f t="shared" si="39"/>
        <v>145894791.45795512</v>
      </c>
      <c r="H153">
        <v>-675103.89694299968</v>
      </c>
      <c r="K153">
        <f t="shared" si="37"/>
        <v>145219687.56101212</v>
      </c>
    </row>
    <row r="154" spans="1:11" x14ac:dyDescent="0.3">
      <c r="A154" s="2">
        <v>47026</v>
      </c>
      <c r="B154" s="7">
        <v>153</v>
      </c>
      <c r="D154">
        <f>$N$2+$N$3*B154</f>
        <v>146366151.17486346</v>
      </c>
      <c r="H154">
        <v>-905323.49262911745</v>
      </c>
      <c r="K154">
        <f t="shared" si="37"/>
        <v>145460827.68223435</v>
      </c>
    </row>
    <row r="155" spans="1:11" x14ac:dyDescent="0.3">
      <c r="A155" s="2">
        <v>47057</v>
      </c>
      <c r="B155" s="7">
        <v>154</v>
      </c>
      <c r="D155">
        <f t="shared" si="39"/>
        <v>146837510.89177179</v>
      </c>
      <c r="H155">
        <v>-758915.08164857491</v>
      </c>
      <c r="K155">
        <f t="shared" si="37"/>
        <v>146078595.81012321</v>
      </c>
    </row>
    <row r="156" spans="1:11" x14ac:dyDescent="0.3">
      <c r="A156" s="2">
        <v>47087</v>
      </c>
      <c r="B156" s="7">
        <v>155</v>
      </c>
      <c r="D156">
        <f t="shared" si="39"/>
        <v>147308870.60868013</v>
      </c>
      <c r="H156">
        <v>-762393.31466802955</v>
      </c>
      <c r="K156">
        <f t="shared" si="37"/>
        <v>146546477.2940121</v>
      </c>
    </row>
    <row r="157" spans="1:11" x14ac:dyDescent="0.3">
      <c r="A157" s="2">
        <v>47118</v>
      </c>
      <c r="B157" s="7">
        <v>156</v>
      </c>
      <c r="D157">
        <f t="shared" si="39"/>
        <v>147780230.32558849</v>
      </c>
      <c r="H157">
        <v>-583887.93757637346</v>
      </c>
      <c r="K157">
        <f t="shared" si="37"/>
        <v>147196342.38801211</v>
      </c>
    </row>
  </sheetData>
  <phoneticPr fontId="2" alignment="center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BD21-6F00-434A-83A1-25A41EF5A7B7}">
  <dimension ref="A1:Z157"/>
  <sheetViews>
    <sheetView tabSelected="1" topLeftCell="A15" zoomScaleNormal="80" zoomScaleSheetLayoutView="100" workbookViewId="0">
      <selection activeCell="D160" sqref="D160"/>
    </sheetView>
  </sheetViews>
  <sheetFormatPr baseColWidth="10" defaultColWidth="8.88671875" defaultRowHeight="14.4" x14ac:dyDescent="0.3"/>
  <cols>
    <col min="1" max="1" width="18.5546875" bestFit="1" customWidth="1"/>
    <col min="3" max="3" width="20.21875" bestFit="1" customWidth="1"/>
    <col min="4" max="4" width="16.6640625" bestFit="1" customWidth="1"/>
    <col min="5" max="5" width="26.109375" bestFit="1" customWidth="1"/>
    <col min="6" max="6" width="17.44140625" bestFit="1" customWidth="1"/>
    <col min="7" max="7" width="27" bestFit="1" customWidth="1"/>
    <col min="8" max="8" width="24.44140625" bestFit="1" customWidth="1"/>
    <col min="9" max="9" width="12" bestFit="1" customWidth="1"/>
    <col min="10" max="10" width="14.44140625" bestFit="1" customWidth="1"/>
    <col min="11" max="11" width="10.6640625" bestFit="1" customWidth="1"/>
    <col min="12" max="12" width="22.21875" bestFit="1" customWidth="1"/>
    <col min="15" max="15" width="11.44140625" bestFit="1" customWidth="1"/>
    <col min="16" max="16" width="11.88671875" bestFit="1" customWidth="1"/>
    <col min="17" max="17" width="10.6640625" bestFit="1" customWidth="1"/>
    <col min="18" max="26" width="11.88671875" bestFit="1" customWidth="1"/>
  </cols>
  <sheetData>
    <row r="1" spans="1:26" x14ac:dyDescent="0.3">
      <c r="A1" s="1" t="s">
        <v>0</v>
      </c>
      <c r="B1" t="s">
        <v>4</v>
      </c>
      <c r="C1" s="1" t="s">
        <v>12</v>
      </c>
      <c r="D1" t="s">
        <v>39</v>
      </c>
      <c r="E1" t="s">
        <v>38</v>
      </c>
      <c r="F1" t="s">
        <v>37</v>
      </c>
      <c r="G1" t="s">
        <v>36</v>
      </c>
      <c r="H1" t="s">
        <v>40</v>
      </c>
      <c r="I1" t="s">
        <v>35</v>
      </c>
      <c r="J1" t="s">
        <v>34</v>
      </c>
      <c r="K1" t="s">
        <v>33</v>
      </c>
      <c r="L1" t="s">
        <v>32</v>
      </c>
      <c r="M1" t="s">
        <v>31</v>
      </c>
    </row>
    <row r="2" spans="1:26" x14ac:dyDescent="0.3">
      <c r="A2" s="2">
        <v>42400</v>
      </c>
      <c r="B2">
        <v>1</v>
      </c>
      <c r="C2">
        <v>77065888.128999993</v>
      </c>
      <c r="G2">
        <v>0.9903476639815243</v>
      </c>
      <c r="H2" s="5">
        <f>C2/G2</f>
        <v>77817003.999554768</v>
      </c>
      <c r="I2">
        <f>$P$4+$P$5*B2</f>
        <v>74719474.204795137</v>
      </c>
      <c r="J2">
        <v>1</v>
      </c>
      <c r="K2" s="6">
        <f>C2/(G2*I2*J2)</f>
        <v>1.0414554549228994</v>
      </c>
      <c r="L2" s="5">
        <f>G2*I2*J2*K2</f>
        <v>77065888.128999993</v>
      </c>
      <c r="M2">
        <v>0</v>
      </c>
    </row>
    <row r="3" spans="1:26" x14ac:dyDescent="0.3">
      <c r="A3" s="2">
        <v>42429</v>
      </c>
      <c r="B3">
        <v>2</v>
      </c>
      <c r="C3">
        <v>77234678.835999995</v>
      </c>
      <c r="G3">
        <v>0.984824610654224</v>
      </c>
      <c r="H3" s="5">
        <f t="shared" ref="H3:H66" si="0">C3/G3</f>
        <v>78424805.798356935</v>
      </c>
      <c r="I3">
        <f t="shared" ref="I3:I66" si="1">$P$4+$P$5*B3</f>
        <v>75190833.921703473</v>
      </c>
      <c r="J3">
        <v>1</v>
      </c>
      <c r="K3" s="6">
        <f t="shared" ref="K3:K66" si="2">C3/(G3*I3*J3)</f>
        <v>1.0430101876516094</v>
      </c>
      <c r="L3" s="5">
        <f t="shared" ref="L3:L66" si="3">G3*I3*J3*K3</f>
        <v>77234678.835999995</v>
      </c>
      <c r="M3">
        <v>0</v>
      </c>
    </row>
    <row r="4" spans="1:26" x14ac:dyDescent="0.3">
      <c r="A4" s="2">
        <v>42460</v>
      </c>
      <c r="B4">
        <v>3</v>
      </c>
      <c r="C4">
        <v>77206828.991999999</v>
      </c>
      <c r="G4">
        <v>0.9823125470139884</v>
      </c>
      <c r="H4" s="5">
        <f t="shared" si="0"/>
        <v>78597009.909617439</v>
      </c>
      <c r="I4">
        <f t="shared" si="1"/>
        <v>75662193.638611823</v>
      </c>
      <c r="J4">
        <v>1</v>
      </c>
      <c r="K4" s="6">
        <f t="shared" si="2"/>
        <v>1.0387884110923786</v>
      </c>
      <c r="L4" s="5">
        <f t="shared" si="3"/>
        <v>77206828.991999999</v>
      </c>
      <c r="M4">
        <v>0</v>
      </c>
      <c r="O4" t="s">
        <v>29</v>
      </c>
      <c r="P4">
        <f>INTERCEPT(C2:C121,B2:B121)</f>
        <v>74248114.487886786</v>
      </c>
    </row>
    <row r="5" spans="1:26" x14ac:dyDescent="0.3">
      <c r="A5" s="2">
        <v>42490</v>
      </c>
      <c r="B5">
        <v>4</v>
      </c>
      <c r="C5">
        <v>76935343.510000005</v>
      </c>
      <c r="G5">
        <v>0.98912096118084081</v>
      </c>
      <c r="H5" s="5">
        <f t="shared" si="0"/>
        <v>77781531.814018384</v>
      </c>
      <c r="I5">
        <f t="shared" si="1"/>
        <v>76133553.355520159</v>
      </c>
      <c r="J5">
        <v>1</v>
      </c>
      <c r="K5" s="6">
        <f t="shared" si="2"/>
        <v>1.0216458891758629</v>
      </c>
      <c r="L5" s="5">
        <f t="shared" si="3"/>
        <v>76935343.510000005</v>
      </c>
      <c r="M5">
        <v>0</v>
      </c>
      <c r="O5" t="s">
        <v>30</v>
      </c>
      <c r="P5">
        <f>SLOPE(C2:C121,B2:B121)</f>
        <v>471359.71690834424</v>
      </c>
    </row>
    <row r="6" spans="1:26" x14ac:dyDescent="0.3">
      <c r="A6" s="2">
        <v>42521</v>
      </c>
      <c r="B6">
        <v>5</v>
      </c>
      <c r="C6">
        <v>76902323.275000006</v>
      </c>
      <c r="G6">
        <v>1.0023766990273115</v>
      </c>
      <c r="H6" s="5">
        <f t="shared" si="0"/>
        <v>76719982.966109097</v>
      </c>
      <c r="I6">
        <f t="shared" si="1"/>
        <v>76604913.07242851</v>
      </c>
      <c r="J6">
        <v>1</v>
      </c>
      <c r="K6" s="6">
        <f t="shared" si="2"/>
        <v>1.0015021215880997</v>
      </c>
      <c r="L6" s="5">
        <f t="shared" si="3"/>
        <v>76902323.275000006</v>
      </c>
      <c r="M6">
        <v>0</v>
      </c>
    </row>
    <row r="7" spans="1:26" x14ac:dyDescent="0.3">
      <c r="A7" s="2">
        <v>42551</v>
      </c>
      <c r="B7">
        <v>6</v>
      </c>
      <c r="C7">
        <v>76478592.439999998</v>
      </c>
      <c r="D7" s="4">
        <f>AVERAGE(C2:C14)</f>
        <v>77155945.192615375</v>
      </c>
      <c r="G7">
        <v>1.0003415092716361</v>
      </c>
      <c r="H7" s="5">
        <f t="shared" si="0"/>
        <v>76452483.208144814</v>
      </c>
      <c r="I7">
        <f t="shared" si="1"/>
        <v>77076272.789336845</v>
      </c>
      <c r="J7">
        <v>1</v>
      </c>
      <c r="K7" s="6">
        <f t="shared" si="2"/>
        <v>0.99190685332051598</v>
      </c>
      <c r="L7" s="5">
        <f t="shared" si="3"/>
        <v>76478592.439999998</v>
      </c>
      <c r="M7">
        <v>0</v>
      </c>
    </row>
    <row r="8" spans="1:26" x14ac:dyDescent="0.3">
      <c r="A8" s="2">
        <v>42582</v>
      </c>
      <c r="B8">
        <v>7</v>
      </c>
      <c r="C8">
        <v>76753885.857999995</v>
      </c>
      <c r="D8" s="4">
        <f t="shared" ref="D8:D72" si="4">AVERAGE(C3:C15)</f>
        <v>77190431.726999998</v>
      </c>
      <c r="E8" s="4">
        <f>AVERAGE(D7:D8)</f>
        <v>77173188.459807694</v>
      </c>
      <c r="F8">
        <f>C8/E8</f>
        <v>0.9945667321750471</v>
      </c>
      <c r="G8">
        <v>1.0040194025445719</v>
      </c>
      <c r="H8" s="5">
        <f t="shared" si="0"/>
        <v>76446616.13458474</v>
      </c>
      <c r="I8">
        <f t="shared" si="1"/>
        <v>77547632.506245196</v>
      </c>
      <c r="J8" s="5">
        <f>E8/I8</f>
        <v>0.99517143161775634</v>
      </c>
      <c r="K8" s="6">
        <f t="shared" si="2"/>
        <v>0.99058517161564019</v>
      </c>
      <c r="L8" s="5">
        <f t="shared" si="3"/>
        <v>76753885.857999995</v>
      </c>
      <c r="M8">
        <v>0</v>
      </c>
      <c r="O8" t="s">
        <v>8</v>
      </c>
      <c r="P8" t="s">
        <v>18</v>
      </c>
      <c r="Q8" t="s">
        <v>19</v>
      </c>
      <c r="R8" t="s">
        <v>20</v>
      </c>
      <c r="S8" t="s">
        <v>21</v>
      </c>
      <c r="T8" t="s">
        <v>22</v>
      </c>
      <c r="U8" t="s">
        <v>23</v>
      </c>
      <c r="V8" t="s">
        <v>24</v>
      </c>
      <c r="W8" t="s">
        <v>25</v>
      </c>
      <c r="X8" t="s">
        <v>26</v>
      </c>
      <c r="Y8" t="s">
        <v>27</v>
      </c>
      <c r="Z8" t="s">
        <v>28</v>
      </c>
    </row>
    <row r="9" spans="1:26" x14ac:dyDescent="0.3">
      <c r="A9" s="2">
        <v>42613</v>
      </c>
      <c r="B9">
        <v>8</v>
      </c>
      <c r="C9">
        <v>77037734.658999994</v>
      </c>
      <c r="D9" s="4">
        <f t="shared" si="4"/>
        <v>77068037.818076909</v>
      </c>
      <c r="E9" s="4">
        <f t="shared" ref="E9:E61" si="5">AVERAGE(D8:D9)</f>
        <v>77129234.772538453</v>
      </c>
      <c r="F9">
        <f t="shared" ref="F9:F72" si="6">C9/E9</f>
        <v>0.99881367792889042</v>
      </c>
      <c r="G9">
        <v>1.0023144048936681</v>
      </c>
      <c r="H9" s="5">
        <f t="shared" si="0"/>
        <v>76859849.846388921</v>
      </c>
      <c r="I9">
        <f t="shared" si="1"/>
        <v>78018992.223153546</v>
      </c>
      <c r="J9" s="5">
        <f t="shared" ref="J9:J72" si="7">E9/I9</f>
        <v>0.9885956300477432</v>
      </c>
      <c r="K9" s="6">
        <f t="shared" si="2"/>
        <v>0.99650735642660027</v>
      </c>
      <c r="L9" s="5">
        <f t="shared" si="3"/>
        <v>77037734.658999994</v>
      </c>
      <c r="M9">
        <v>0</v>
      </c>
      <c r="O9">
        <v>1</v>
      </c>
      <c r="Q9">
        <f>F14</f>
        <v>1.0028344599880561</v>
      </c>
      <c r="R9">
        <f>F26</f>
        <v>0.99960906187726095</v>
      </c>
      <c r="S9">
        <f>F38</f>
        <v>0.99505739661381032</v>
      </c>
      <c r="T9">
        <f>F50</f>
        <v>0.94666332561274236</v>
      </c>
      <c r="U9">
        <f>F62</f>
        <v>0.98369903117556179</v>
      </c>
      <c r="V9">
        <f>F74</f>
        <v>0.99064940842520155</v>
      </c>
      <c r="W9">
        <f>F86</f>
        <v>1.0067421378324131</v>
      </c>
      <c r="X9">
        <f>F98</f>
        <v>0.9907412117747354</v>
      </c>
      <c r="Y9">
        <f>F110</f>
        <v>0.99713294253393581</v>
      </c>
      <c r="Z9">
        <f>AVERAGE(P9:Y9)</f>
        <v>0.9903476639815243</v>
      </c>
    </row>
    <row r="10" spans="1:26" x14ac:dyDescent="0.3">
      <c r="A10" s="2">
        <v>42643</v>
      </c>
      <c r="B10">
        <v>9</v>
      </c>
      <c r="C10">
        <v>77611834.141000003</v>
      </c>
      <c r="D10" s="4">
        <f t="shared" si="4"/>
        <v>77021503.64376922</v>
      </c>
      <c r="E10" s="4">
        <f t="shared" si="5"/>
        <v>77044770.730923057</v>
      </c>
      <c r="F10">
        <f t="shared" si="6"/>
        <v>1.0073601803820975</v>
      </c>
      <c r="G10">
        <v>1.0006957364567286</v>
      </c>
      <c r="H10" s="5">
        <f t="shared" si="0"/>
        <v>77557874.300342873</v>
      </c>
      <c r="I10">
        <f t="shared" si="1"/>
        <v>78490351.940061882</v>
      </c>
      <c r="J10" s="5">
        <f t="shared" si="7"/>
        <v>0.98158268916614455</v>
      </c>
      <c r="K10" s="6">
        <f t="shared" si="2"/>
        <v>1.0066598104524422</v>
      </c>
      <c r="L10" s="5">
        <f t="shared" si="3"/>
        <v>77611834.140999988</v>
      </c>
      <c r="M10">
        <v>0</v>
      </c>
      <c r="O10">
        <v>2</v>
      </c>
      <c r="Q10">
        <f t="shared" ref="Q10:Q20" si="8">F15</f>
        <v>1.0086635563255977</v>
      </c>
      <c r="R10">
        <f t="shared" ref="R10:R20" si="9">F27</f>
        <v>1.0000257959540519</v>
      </c>
      <c r="S10">
        <f t="shared" ref="S10:S20" si="10">F39</f>
        <v>0.97467416106687976</v>
      </c>
      <c r="T10">
        <f t="shared" ref="T10:T19" si="11">F51</f>
        <v>0.94638855969541447</v>
      </c>
      <c r="U10">
        <f t="shared" ref="U10:U20" si="12">F63</f>
        <v>0.97358532495948158</v>
      </c>
      <c r="V10">
        <f t="shared" ref="V10:V20" si="13">F75</f>
        <v>0.97570447111624803</v>
      </c>
      <c r="W10">
        <f t="shared" ref="W10:W20" si="14">F87</f>
        <v>0.9954463207547698</v>
      </c>
      <c r="X10">
        <f t="shared" ref="X10:X20" si="15">F99</f>
        <v>0.98472858276118025</v>
      </c>
      <c r="Y10">
        <f t="shared" ref="Y10:Y13" si="16">F111</f>
        <v>1.0042047232543931</v>
      </c>
      <c r="Z10">
        <f t="shared" ref="Z10:Z20" si="17">AVERAGE(P10:Y10)</f>
        <v>0.984824610654224</v>
      </c>
    </row>
    <row r="11" spans="1:26" x14ac:dyDescent="0.3">
      <c r="A11" s="2">
        <v>42674</v>
      </c>
      <c r="B11">
        <v>10</v>
      </c>
      <c r="C11">
        <v>76686282.165000007</v>
      </c>
      <c r="D11" s="4">
        <f t="shared" si="4"/>
        <v>76997982.039076924</v>
      </c>
      <c r="E11" s="4">
        <f t="shared" si="5"/>
        <v>77009742.841423064</v>
      </c>
      <c r="F11">
        <f t="shared" si="6"/>
        <v>0.99579974345468047</v>
      </c>
      <c r="G11">
        <v>1.0027899631053778</v>
      </c>
      <c r="H11" s="5">
        <f t="shared" si="0"/>
        <v>76472925.524227113</v>
      </c>
      <c r="I11">
        <f t="shared" si="1"/>
        <v>78961711.656970233</v>
      </c>
      <c r="J11" s="5">
        <f t="shared" si="7"/>
        <v>0.97527955290499502</v>
      </c>
      <c r="K11" s="6">
        <f t="shared" si="2"/>
        <v>0.99302922854447984</v>
      </c>
      <c r="L11" s="5">
        <f t="shared" si="3"/>
        <v>76686282.165000007</v>
      </c>
      <c r="M11">
        <v>0</v>
      </c>
      <c r="O11">
        <v>3</v>
      </c>
      <c r="Q11">
        <f t="shared" si="8"/>
        <v>0.98453779624283777</v>
      </c>
      <c r="R11">
        <f t="shared" si="9"/>
        <v>0.99300356992368444</v>
      </c>
      <c r="S11">
        <f t="shared" si="10"/>
        <v>0.9938662728155454</v>
      </c>
      <c r="T11">
        <f t="shared" si="11"/>
        <v>0.9697173414507223</v>
      </c>
      <c r="U11">
        <f t="shared" si="12"/>
        <v>0.97080301880405917</v>
      </c>
      <c r="V11">
        <f t="shared" si="13"/>
        <v>0.98318611814572443</v>
      </c>
      <c r="W11">
        <f t="shared" si="14"/>
        <v>0.98843055349239761</v>
      </c>
      <c r="X11">
        <f t="shared" si="15"/>
        <v>0.972267180035853</v>
      </c>
      <c r="Y11">
        <f t="shared" si="16"/>
        <v>0.98500107221507094</v>
      </c>
      <c r="Z11">
        <f t="shared" si="17"/>
        <v>0.9823125470139884</v>
      </c>
    </row>
    <row r="12" spans="1:26" x14ac:dyDescent="0.3">
      <c r="A12" s="2">
        <v>42704</v>
      </c>
      <c r="B12">
        <v>11</v>
      </c>
      <c r="C12">
        <v>77992908.772</v>
      </c>
      <c r="D12" s="4">
        <f t="shared" si="4"/>
        <v>76893652.845692307</v>
      </c>
      <c r="E12" s="4">
        <f t="shared" si="5"/>
        <v>76945817.442384616</v>
      </c>
      <c r="F12">
        <f t="shared" si="6"/>
        <v>1.0136081643475869</v>
      </c>
      <c r="G12">
        <v>1.0039298869473017</v>
      </c>
      <c r="H12" s="5">
        <f t="shared" si="0"/>
        <v>77687605.266097635</v>
      </c>
      <c r="I12">
        <f t="shared" si="1"/>
        <v>79433071.373878568</v>
      </c>
      <c r="J12" s="5">
        <f t="shared" si="7"/>
        <v>0.96868742592380885</v>
      </c>
      <c r="K12" s="6">
        <f t="shared" si="2"/>
        <v>1.0096403917505776</v>
      </c>
      <c r="L12" s="5">
        <f t="shared" si="3"/>
        <v>77992908.772</v>
      </c>
      <c r="M12">
        <v>0</v>
      </c>
      <c r="O12">
        <v>4</v>
      </c>
      <c r="Q12">
        <f t="shared" si="8"/>
        <v>0.9954116358617644</v>
      </c>
      <c r="R12">
        <f t="shared" si="9"/>
        <v>0.99653143280974277</v>
      </c>
      <c r="S12">
        <f t="shared" si="10"/>
        <v>0.98396006950766868</v>
      </c>
      <c r="T12">
        <f t="shared" si="11"/>
        <v>0.96579121005260749</v>
      </c>
      <c r="U12">
        <f t="shared" si="12"/>
        <v>0.9755314715928084</v>
      </c>
      <c r="V12">
        <f t="shared" si="13"/>
        <v>0.98740815343701926</v>
      </c>
      <c r="W12">
        <f t="shared" si="14"/>
        <v>0.99234277164754403</v>
      </c>
      <c r="X12">
        <f t="shared" si="15"/>
        <v>1.00527526492205</v>
      </c>
      <c r="Y12">
        <f t="shared" si="16"/>
        <v>0.99983664079636214</v>
      </c>
      <c r="Z12">
        <f t="shared" si="17"/>
        <v>0.98912096118084081</v>
      </c>
    </row>
    <row r="13" spans="1:26" x14ac:dyDescent="0.3">
      <c r="A13" s="2">
        <v>42735</v>
      </c>
      <c r="B13">
        <v>12</v>
      </c>
      <c r="C13">
        <v>77995484.253000006</v>
      </c>
      <c r="D13" s="4">
        <f t="shared" si="4"/>
        <v>76931562.250307694</v>
      </c>
      <c r="E13" s="4">
        <f t="shared" si="5"/>
        <v>76912607.548000008</v>
      </c>
      <c r="F13">
        <f t="shared" si="6"/>
        <v>1.0140793133859647</v>
      </c>
      <c r="G13">
        <v>1.006828227018538</v>
      </c>
      <c r="H13" s="5">
        <f t="shared" si="0"/>
        <v>77466525.232376039</v>
      </c>
      <c r="I13">
        <f t="shared" si="1"/>
        <v>79904431.090786919</v>
      </c>
      <c r="J13" s="5">
        <f t="shared" si="7"/>
        <v>0.96255747645099154</v>
      </c>
      <c r="K13" s="6">
        <f t="shared" si="2"/>
        <v>1.0072019100903626</v>
      </c>
      <c r="L13" s="5">
        <f t="shared" si="3"/>
        <v>77995484.253000006</v>
      </c>
      <c r="M13">
        <v>0</v>
      </c>
      <c r="O13">
        <v>5</v>
      </c>
      <c r="Q13">
        <f t="shared" si="8"/>
        <v>0.99298749930740271</v>
      </c>
      <c r="R13">
        <f t="shared" si="9"/>
        <v>0.99801168225008763</v>
      </c>
      <c r="S13">
        <f t="shared" si="10"/>
        <v>0.99523093270215779</v>
      </c>
      <c r="T13">
        <f t="shared" si="11"/>
        <v>1.0622374877157017</v>
      </c>
      <c r="U13">
        <f t="shared" si="12"/>
        <v>0.98754636944816221</v>
      </c>
      <c r="V13">
        <f t="shared" si="13"/>
        <v>0.98229802999605875</v>
      </c>
      <c r="W13">
        <f t="shared" si="14"/>
        <v>0.99046123545749321</v>
      </c>
      <c r="X13">
        <f t="shared" si="15"/>
        <v>1.0136266587243459</v>
      </c>
      <c r="Y13">
        <f t="shared" si="16"/>
        <v>0.9989903956443924</v>
      </c>
      <c r="Z13">
        <f t="shared" si="17"/>
        <v>1.0023766990273115</v>
      </c>
    </row>
    <row r="14" spans="1:26" x14ac:dyDescent="0.3">
      <c r="A14" s="2">
        <v>42766</v>
      </c>
      <c r="B14">
        <v>13</v>
      </c>
      <c r="C14">
        <v>77125502.474000007</v>
      </c>
      <c r="D14" s="4">
        <f t="shared" si="4"/>
        <v>76883460.171076924</v>
      </c>
      <c r="E14" s="4">
        <f t="shared" si="5"/>
        <v>76907511.210692316</v>
      </c>
      <c r="F14">
        <f t="shared" si="6"/>
        <v>1.0028344599880561</v>
      </c>
      <c r="G14">
        <v>0.9903476639815243</v>
      </c>
      <c r="H14" s="5">
        <f t="shared" si="0"/>
        <v>77877199.370501921</v>
      </c>
      <c r="I14">
        <f t="shared" si="1"/>
        <v>80375790.807695255</v>
      </c>
      <c r="J14" s="5">
        <f t="shared" si="7"/>
        <v>0.95684920095777293</v>
      </c>
      <c r="K14" s="6">
        <f t="shared" si="2"/>
        <v>1.0126084974607108</v>
      </c>
      <c r="L14" s="5">
        <f t="shared" si="3"/>
        <v>77125502.474000007</v>
      </c>
      <c r="M14">
        <v>0</v>
      </c>
      <c r="O14">
        <v>6</v>
      </c>
      <c r="Q14">
        <f t="shared" si="8"/>
        <v>0.9763057277989341</v>
      </c>
      <c r="R14">
        <f t="shared" si="9"/>
        <v>0.98542084364240634</v>
      </c>
      <c r="S14">
        <f t="shared" si="10"/>
        <v>0.98289804195033048</v>
      </c>
      <c r="T14">
        <f t="shared" si="11"/>
        <v>1.0348647195393885</v>
      </c>
      <c r="U14">
        <f t="shared" si="12"/>
        <v>1.0052722395372562</v>
      </c>
      <c r="V14">
        <f t="shared" si="13"/>
        <v>1.0146109169912769</v>
      </c>
      <c r="W14">
        <f t="shared" si="14"/>
        <v>0.98344657357745435</v>
      </c>
      <c r="X14">
        <f t="shared" si="15"/>
        <v>1.0199130111360422</v>
      </c>
      <c r="Z14">
        <f t="shared" si="17"/>
        <v>1.0003415092716361</v>
      </c>
    </row>
    <row r="15" spans="1:26" x14ac:dyDescent="0.3">
      <c r="A15" s="2">
        <v>42794</v>
      </c>
      <c r="B15">
        <v>14</v>
      </c>
      <c r="C15">
        <v>77514213.076000005</v>
      </c>
      <c r="D15" s="4">
        <f t="shared" si="4"/>
        <v>76813404.536461547</v>
      </c>
      <c r="E15" s="4">
        <f t="shared" si="5"/>
        <v>76848432.353769243</v>
      </c>
      <c r="F15">
        <f t="shared" si="6"/>
        <v>1.0086635563255977</v>
      </c>
      <c r="G15">
        <v>0.984824610654224</v>
      </c>
      <c r="H15" s="5">
        <f t="shared" si="0"/>
        <v>78708647.445870504</v>
      </c>
      <c r="I15">
        <f t="shared" si="1"/>
        <v>80847150.524603605</v>
      </c>
      <c r="J15" s="5">
        <f t="shared" si="7"/>
        <v>0.95053977604792061</v>
      </c>
      <c r="K15" s="6">
        <f t="shared" si="2"/>
        <v>1.0242062854781191</v>
      </c>
      <c r="L15" s="5">
        <f t="shared" si="3"/>
        <v>77514213.076000005</v>
      </c>
      <c r="M15">
        <v>0</v>
      </c>
      <c r="O15">
        <v>7</v>
      </c>
      <c r="P15">
        <f>F8</f>
        <v>0.9945667321750471</v>
      </c>
      <c r="Q15">
        <f t="shared" si="8"/>
        <v>0.99143405935307449</v>
      </c>
      <c r="R15">
        <f t="shared" si="9"/>
        <v>0.98566888768094785</v>
      </c>
      <c r="S15">
        <f t="shared" si="10"/>
        <v>0.99352427667955634</v>
      </c>
      <c r="T15">
        <f t="shared" si="11"/>
        <v>1.0216038235156364</v>
      </c>
      <c r="U15">
        <f t="shared" si="12"/>
        <v>1.0276107590265973</v>
      </c>
      <c r="V15">
        <f t="shared" si="13"/>
        <v>1.0313703543864607</v>
      </c>
      <c r="W15">
        <f t="shared" si="14"/>
        <v>0.9945995917706274</v>
      </c>
      <c r="X15">
        <f t="shared" si="15"/>
        <v>0.9957961383131998</v>
      </c>
      <c r="Z15">
        <f t="shared" si="17"/>
        <v>1.0040194025445719</v>
      </c>
    </row>
    <row r="16" spans="1:26" x14ac:dyDescent="0.3">
      <c r="A16" s="2">
        <v>42825</v>
      </c>
      <c r="B16">
        <v>15</v>
      </c>
      <c r="C16">
        <v>75643558.019999996</v>
      </c>
      <c r="D16" s="4">
        <f t="shared" si="4"/>
        <v>76849681.449000001</v>
      </c>
      <c r="E16" s="4">
        <f t="shared" si="5"/>
        <v>76831542.992730767</v>
      </c>
      <c r="F16">
        <f t="shared" si="6"/>
        <v>0.98453779624283777</v>
      </c>
      <c r="G16">
        <v>0.9823125470139884</v>
      </c>
      <c r="H16" s="5">
        <f t="shared" si="0"/>
        <v>77005590.786699802</v>
      </c>
      <c r="I16">
        <f t="shared" si="1"/>
        <v>81318510.241511956</v>
      </c>
      <c r="J16" s="5">
        <f t="shared" si="7"/>
        <v>0.94482231369641279</v>
      </c>
      <c r="K16" s="6">
        <f t="shared" si="2"/>
        <v>1.0022653169152871</v>
      </c>
      <c r="L16" s="5">
        <f t="shared" si="3"/>
        <v>75643558.019999996</v>
      </c>
      <c r="M16">
        <v>0</v>
      </c>
      <c r="O16">
        <v>8</v>
      </c>
      <c r="P16">
        <f t="shared" ref="P16:P20" si="18">F9</f>
        <v>0.99881367792889042</v>
      </c>
      <c r="Q16">
        <f t="shared" si="8"/>
        <v>0.97667957227058366</v>
      </c>
      <c r="R16">
        <f t="shared" si="9"/>
        <v>0.99623603998098653</v>
      </c>
      <c r="S16">
        <f t="shared" si="10"/>
        <v>0.99766686972861851</v>
      </c>
      <c r="T16">
        <f t="shared" si="11"/>
        <v>1.0247977672841257</v>
      </c>
      <c r="U16">
        <f t="shared" si="12"/>
        <v>1.0217997306582598</v>
      </c>
      <c r="V16">
        <f t="shared" si="13"/>
        <v>1.0181620606070809</v>
      </c>
      <c r="W16">
        <f t="shared" si="14"/>
        <v>0.99596726300296801</v>
      </c>
      <c r="X16">
        <f t="shared" si="15"/>
        <v>0.99070666258149909</v>
      </c>
      <c r="Z16">
        <f t="shared" si="17"/>
        <v>1.0023144048936681</v>
      </c>
    </row>
    <row r="17" spans="1:26" x14ac:dyDescent="0.3">
      <c r="A17" s="2">
        <v>42855</v>
      </c>
      <c r="B17">
        <v>16</v>
      </c>
      <c r="C17">
        <v>76601884.725999996</v>
      </c>
      <c r="D17" s="4">
        <f t="shared" si="4"/>
        <v>77060282.964230776</v>
      </c>
      <c r="E17" s="4">
        <f t="shared" si="5"/>
        <v>76954982.206615388</v>
      </c>
      <c r="F17">
        <f t="shared" si="6"/>
        <v>0.9954116358617644</v>
      </c>
      <c r="G17">
        <v>0.98912096118084081</v>
      </c>
      <c r="H17" s="5">
        <f t="shared" si="0"/>
        <v>77444405.418878675</v>
      </c>
      <c r="I17">
        <f t="shared" si="1"/>
        <v>81789869.958420292</v>
      </c>
      <c r="J17" s="5">
        <f>E17/I17</f>
        <v>0.94088647219682797</v>
      </c>
      <c r="K17" s="6">
        <f t="shared" si="2"/>
        <v>1.0063598638870352</v>
      </c>
      <c r="L17" s="5">
        <f t="shared" si="3"/>
        <v>76601884.726000011</v>
      </c>
      <c r="M17">
        <v>0</v>
      </c>
      <c r="O17">
        <v>9</v>
      </c>
      <c r="P17">
        <f t="shared" si="18"/>
        <v>1.0073601803820975</v>
      </c>
      <c r="Q17">
        <f t="shared" si="8"/>
        <v>0.97147456551984812</v>
      </c>
      <c r="R17">
        <f t="shared" si="9"/>
        <v>0.99378386063567681</v>
      </c>
      <c r="S17">
        <f t="shared" si="10"/>
        <v>0.98778757828835695</v>
      </c>
      <c r="T17">
        <f t="shared" si="11"/>
        <v>1.0165828563753259</v>
      </c>
      <c r="U17">
        <f t="shared" si="12"/>
        <v>1.0147505513572082</v>
      </c>
      <c r="V17">
        <f t="shared" si="13"/>
        <v>1.0199605546929207</v>
      </c>
      <c r="W17">
        <f t="shared" si="14"/>
        <v>1.0076594921582376</v>
      </c>
      <c r="X17">
        <f t="shared" si="15"/>
        <v>0.98690198870088564</v>
      </c>
      <c r="Z17">
        <f t="shared" si="17"/>
        <v>1.0006957364567286</v>
      </c>
    </row>
    <row r="18" spans="1:26" x14ac:dyDescent="0.3">
      <c r="A18" s="2">
        <v>42886</v>
      </c>
      <c r="B18">
        <v>17</v>
      </c>
      <c r="C18">
        <v>76629562.649000004</v>
      </c>
      <c r="D18" s="4">
        <f t="shared" si="4"/>
        <v>77281161.822230771</v>
      </c>
      <c r="E18" s="4">
        <f t="shared" si="5"/>
        <v>77170722.393230766</v>
      </c>
      <c r="F18">
        <f t="shared" si="6"/>
        <v>0.99298749930740271</v>
      </c>
      <c r="G18">
        <v>1.0023766990273115</v>
      </c>
      <c r="H18" s="5">
        <f>C18/G18</f>
        <v>76447869.07293433</v>
      </c>
      <c r="I18">
        <f t="shared" si="1"/>
        <v>82261229.675328642</v>
      </c>
      <c r="J18" s="5">
        <f t="shared" si="7"/>
        <v>0.93811778279768898</v>
      </c>
      <c r="K18" s="6">
        <f t="shared" si="2"/>
        <v>0.9906330626709301</v>
      </c>
      <c r="L18" s="5">
        <f t="shared" si="3"/>
        <v>76629562.649000004</v>
      </c>
      <c r="M18">
        <v>0</v>
      </c>
      <c r="O18">
        <v>10</v>
      </c>
      <c r="P18">
        <f t="shared" si="18"/>
        <v>0.99579974345468047</v>
      </c>
      <c r="Q18">
        <f t="shared" si="8"/>
        <v>0.98975927021844112</v>
      </c>
      <c r="R18">
        <f t="shared" si="9"/>
        <v>1.0065787773912069</v>
      </c>
      <c r="S18">
        <f t="shared" si="10"/>
        <v>0.99954697958923922</v>
      </c>
      <c r="T18">
        <f t="shared" si="11"/>
        <v>1.0094977769164251</v>
      </c>
      <c r="U18">
        <f t="shared" si="12"/>
        <v>1.0008690879374413</v>
      </c>
      <c r="V18">
        <f t="shared" si="13"/>
        <v>1.0238465883903218</v>
      </c>
      <c r="W18">
        <f t="shared" si="14"/>
        <v>1.0084569617170875</v>
      </c>
      <c r="X18">
        <f t="shared" si="15"/>
        <v>0.99075448233355679</v>
      </c>
      <c r="Z18">
        <f t="shared" si="17"/>
        <v>1.0027899631053778</v>
      </c>
    </row>
    <row r="19" spans="1:26" x14ac:dyDescent="0.3">
      <c r="A19" s="2">
        <v>42916</v>
      </c>
      <c r="B19">
        <v>18</v>
      </c>
      <c r="C19">
        <v>75546043.761000007</v>
      </c>
      <c r="D19" s="4">
        <f t="shared" si="4"/>
        <v>77477827.313923076</v>
      </c>
      <c r="E19" s="4">
        <f>AVERAGE(D18:D19)</f>
        <v>77379494.568076923</v>
      </c>
      <c r="F19">
        <f t="shared" si="6"/>
        <v>0.9763057277989341</v>
      </c>
      <c r="G19">
        <v>1.0003415092716361</v>
      </c>
      <c r="H19" s="5">
        <f t="shared" si="0"/>
        <v>75520252.894440249</v>
      </c>
      <c r="I19">
        <f t="shared" si="1"/>
        <v>82732589.392236978</v>
      </c>
      <c r="J19" s="5">
        <f t="shared" si="7"/>
        <v>0.9352964186968582</v>
      </c>
      <c r="K19" s="6">
        <f t="shared" si="2"/>
        <v>0.97597242416721985</v>
      </c>
      <c r="L19" s="5">
        <f t="shared" si="3"/>
        <v>75546043.761000007</v>
      </c>
      <c r="M19">
        <v>0</v>
      </c>
      <c r="O19">
        <v>11</v>
      </c>
      <c r="P19">
        <f t="shared" si="18"/>
        <v>1.0136081643475869</v>
      </c>
      <c r="Q19">
        <f t="shared" si="8"/>
        <v>1.0002417779226052</v>
      </c>
      <c r="R19">
        <f t="shared" si="9"/>
        <v>1.0108909248520206</v>
      </c>
      <c r="S19">
        <f t="shared" si="10"/>
        <v>0.98688440585533643</v>
      </c>
      <c r="T19">
        <f t="shared" si="11"/>
        <v>1.0049343096048349</v>
      </c>
      <c r="U19">
        <f t="shared" si="12"/>
        <v>1.0009087749816461</v>
      </c>
      <c r="V19">
        <f t="shared" si="13"/>
        <v>1.0113688422666682</v>
      </c>
      <c r="W19">
        <f t="shared" si="14"/>
        <v>1.0039857615193832</v>
      </c>
      <c r="X19">
        <f t="shared" si="15"/>
        <v>1.0025460211756325</v>
      </c>
      <c r="Z19">
        <f t="shared" si="17"/>
        <v>1.0039298869473017</v>
      </c>
    </row>
    <row r="20" spans="1:26" x14ac:dyDescent="0.3">
      <c r="A20" s="2">
        <v>42947</v>
      </c>
      <c r="B20">
        <v>19</v>
      </c>
      <c r="C20">
        <v>76971414.700000003</v>
      </c>
      <c r="D20" s="4">
        <f t="shared" si="4"/>
        <v>77795060.426538453</v>
      </c>
      <c r="E20" s="4">
        <f t="shared" si="5"/>
        <v>77636443.870230764</v>
      </c>
      <c r="F20">
        <f t="shared" si="6"/>
        <v>0.99143405935307449</v>
      </c>
      <c r="G20">
        <v>1.0040194025445719</v>
      </c>
      <c r="H20" s="5">
        <f t="shared" si="0"/>
        <v>76663274.140843078</v>
      </c>
      <c r="I20">
        <f t="shared" si="1"/>
        <v>83203949.109145328</v>
      </c>
      <c r="J20" s="5">
        <f t="shared" si="7"/>
        <v>0.93308604581242627</v>
      </c>
      <c r="K20" s="6">
        <f t="shared" si="2"/>
        <v>0.98746503985918865</v>
      </c>
      <c r="L20" s="5">
        <f t="shared" si="3"/>
        <v>76971414.700000003</v>
      </c>
      <c r="M20">
        <v>0</v>
      </c>
      <c r="O20">
        <v>12</v>
      </c>
      <c r="P20">
        <f t="shared" si="18"/>
        <v>1.0140793133859647</v>
      </c>
      <c r="Q20">
        <f t="shared" si="8"/>
        <v>1.0112548151422971</v>
      </c>
      <c r="R20">
        <f t="shared" si="9"/>
        <v>1.0408462007249664</v>
      </c>
      <c r="S20">
        <f t="shared" si="10"/>
        <v>0.96771107526366107</v>
      </c>
      <c r="T20">
        <f>F61</f>
        <v>0.99824521878353778</v>
      </c>
      <c r="U20">
        <f t="shared" si="12"/>
        <v>1.010725956744488</v>
      </c>
      <c r="V20">
        <f t="shared" si="13"/>
        <v>1.0080067747481203</v>
      </c>
      <c r="W20">
        <f t="shared" si="14"/>
        <v>1.007573021748432</v>
      </c>
      <c r="X20">
        <f t="shared" si="15"/>
        <v>1.0030116666253743</v>
      </c>
      <c r="Z20">
        <f t="shared" si="17"/>
        <v>1.006828227018538</v>
      </c>
    </row>
    <row r="21" spans="1:26" x14ac:dyDescent="0.3">
      <c r="A21" s="2">
        <v>42978</v>
      </c>
      <c r="B21">
        <v>20</v>
      </c>
      <c r="C21">
        <v>76128558.827999994</v>
      </c>
      <c r="D21" s="4">
        <f t="shared" si="4"/>
        <v>78097539.335769236</v>
      </c>
      <c r="E21" s="4">
        <f t="shared" si="5"/>
        <v>77946299.881153852</v>
      </c>
      <c r="F21">
        <f>C21/E21</f>
        <v>0.97667957227058366</v>
      </c>
      <c r="G21">
        <v>1.0023144048936681</v>
      </c>
      <c r="H21" s="5">
        <f t="shared" si="0"/>
        <v>75952773.357653379</v>
      </c>
      <c r="I21">
        <f t="shared" si="1"/>
        <v>83675308.826053679</v>
      </c>
      <c r="J21" s="5">
        <f t="shared" si="7"/>
        <v>0.93153286166162308</v>
      </c>
      <c r="K21" s="6">
        <f t="shared" si="2"/>
        <v>0.97442435976383712</v>
      </c>
      <c r="L21" s="5">
        <f t="shared" si="3"/>
        <v>76128558.827999994</v>
      </c>
      <c r="M21">
        <v>0</v>
      </c>
    </row>
    <row r="22" spans="1:26" x14ac:dyDescent="0.3">
      <c r="A22" s="2">
        <v>43008</v>
      </c>
      <c r="B22">
        <v>21</v>
      </c>
      <c r="C22">
        <v>76127011.408999994</v>
      </c>
      <c r="D22" s="4">
        <f>AVERAGE(C17:C29)</f>
        <v>78627122.556461543</v>
      </c>
      <c r="E22" s="4">
        <f t="shared" si="5"/>
        <v>78362330.946115389</v>
      </c>
      <c r="F22">
        <f t="shared" si="6"/>
        <v>0.97147456551984812</v>
      </c>
      <c r="G22">
        <v>1.0006957364567286</v>
      </c>
      <c r="H22" s="5">
        <f t="shared" si="0"/>
        <v>76074083.895421714</v>
      </c>
      <c r="I22">
        <f t="shared" si="1"/>
        <v>84146668.542962015</v>
      </c>
      <c r="J22" s="5">
        <f t="shared" si="7"/>
        <v>0.93125886387417267</v>
      </c>
      <c r="K22" s="6">
        <f t="shared" si="2"/>
        <v>0.97079914516239774</v>
      </c>
      <c r="L22" s="5">
        <f t="shared" si="3"/>
        <v>76127011.408999994</v>
      </c>
      <c r="M22">
        <v>0</v>
      </c>
    </row>
    <row r="23" spans="1:26" x14ac:dyDescent="0.3">
      <c r="A23" s="2">
        <v>43039</v>
      </c>
      <c r="B23">
        <v>22</v>
      </c>
      <c r="C23">
        <v>78083434.003999993</v>
      </c>
      <c r="D23" s="4">
        <f t="shared" si="4"/>
        <v>79155555.218846142</v>
      </c>
      <c r="E23" s="4">
        <f t="shared" si="5"/>
        <v>78891338.887653843</v>
      </c>
      <c r="F23">
        <f t="shared" si="6"/>
        <v>0.98975927021844112</v>
      </c>
      <c r="G23">
        <v>1.0027899631053778</v>
      </c>
      <c r="H23" s="5">
        <f t="shared" si="0"/>
        <v>77866190.206168458</v>
      </c>
      <c r="I23">
        <f t="shared" si="1"/>
        <v>84618028.259870365</v>
      </c>
      <c r="J23" s="5">
        <f t="shared" si="7"/>
        <v>0.932323058218406</v>
      </c>
      <c r="K23" s="6">
        <f t="shared" si="2"/>
        <v>0.98700556111811877</v>
      </c>
      <c r="L23" s="5">
        <f t="shared" si="3"/>
        <v>78083434.003999993</v>
      </c>
      <c r="M23">
        <v>0</v>
      </c>
    </row>
    <row r="24" spans="1:26" x14ac:dyDescent="0.3">
      <c r="A24" s="2">
        <v>43069</v>
      </c>
      <c r="B24">
        <v>23</v>
      </c>
      <c r="C24">
        <v>79424101.863000005</v>
      </c>
      <c r="D24" s="4">
        <f t="shared" si="4"/>
        <v>79654251.801923066</v>
      </c>
      <c r="E24" s="4">
        <f t="shared" si="5"/>
        <v>79404903.510384604</v>
      </c>
      <c r="F24">
        <f t="shared" si="6"/>
        <v>1.0002417779226052</v>
      </c>
      <c r="G24">
        <v>1.0039298869473017</v>
      </c>
      <c r="H24" s="5">
        <f t="shared" si="0"/>
        <v>79113195.946889013</v>
      </c>
      <c r="I24">
        <f t="shared" si="1"/>
        <v>85089387.976778701</v>
      </c>
      <c r="J24" s="5">
        <f t="shared" si="7"/>
        <v>0.9331939669380932</v>
      </c>
      <c r="K24" s="6">
        <f t="shared" si="2"/>
        <v>0.99632632809058885</v>
      </c>
      <c r="L24" s="5">
        <f t="shared" si="3"/>
        <v>79424101.863000005</v>
      </c>
      <c r="M24">
        <v>0</v>
      </c>
    </row>
    <row r="25" spans="1:26" x14ac:dyDescent="0.3">
      <c r="A25" s="2">
        <v>43100</v>
      </c>
      <c r="B25">
        <v>24</v>
      </c>
      <c r="C25">
        <v>80864333.925999999</v>
      </c>
      <c r="D25" s="4">
        <f t="shared" si="4"/>
        <v>80274448.096769229</v>
      </c>
      <c r="E25" s="4">
        <f t="shared" si="5"/>
        <v>79964349.949346155</v>
      </c>
      <c r="F25">
        <f t="shared" si="6"/>
        <v>1.0112548151422971</v>
      </c>
      <c r="G25">
        <v>1.006828227018538</v>
      </c>
      <c r="H25" s="5">
        <f t="shared" si="0"/>
        <v>80315918.600592732</v>
      </c>
      <c r="I25">
        <f t="shared" si="1"/>
        <v>85560747.693687052</v>
      </c>
      <c r="J25" s="5">
        <f t="shared" si="7"/>
        <v>0.93459152829780823</v>
      </c>
      <c r="K25" s="6">
        <f t="shared" si="2"/>
        <v>1.0043965673636974</v>
      </c>
      <c r="L25" s="5">
        <f t="shared" si="3"/>
        <v>80864333.925999999</v>
      </c>
      <c r="M25">
        <v>0</v>
      </c>
    </row>
    <row r="26" spans="1:26" x14ac:dyDescent="0.3">
      <c r="A26" s="2">
        <v>43131</v>
      </c>
      <c r="B26">
        <v>25</v>
      </c>
      <c r="C26">
        <v>80552135.644999996</v>
      </c>
      <c r="D26" s="4">
        <f t="shared" si="4"/>
        <v>80892829.626230776</v>
      </c>
      <c r="E26" s="4">
        <f t="shared" si="5"/>
        <v>80583638.861499995</v>
      </c>
      <c r="F26">
        <f t="shared" si="6"/>
        <v>0.99960906187726095</v>
      </c>
      <c r="G26">
        <v>0.9903476639815243</v>
      </c>
      <c r="H26" s="5">
        <f t="shared" si="0"/>
        <v>81337229.918990105</v>
      </c>
      <c r="I26">
        <f t="shared" si="1"/>
        <v>86032107.410595387</v>
      </c>
      <c r="J26" s="5">
        <f t="shared" si="7"/>
        <v>0.93666935853271471</v>
      </c>
      <c r="K26" s="6">
        <f t="shared" si="2"/>
        <v>1.0093516632921642</v>
      </c>
      <c r="L26" s="5">
        <f t="shared" si="3"/>
        <v>80552135.644999996</v>
      </c>
      <c r="M26">
        <v>0</v>
      </c>
    </row>
    <row r="27" spans="1:26" x14ac:dyDescent="0.3">
      <c r="A27" s="2">
        <v>43159</v>
      </c>
      <c r="B27">
        <v>26</v>
      </c>
      <c r="C27">
        <v>81249532.937999994</v>
      </c>
      <c r="D27" s="4">
        <f t="shared" si="4"/>
        <v>81602044.539461538</v>
      </c>
      <c r="E27" s="4">
        <f t="shared" si="5"/>
        <v>81247437.082846165</v>
      </c>
      <c r="F27">
        <f t="shared" si="6"/>
        <v>1.0000257959540519</v>
      </c>
      <c r="G27">
        <v>0.984824610654224</v>
      </c>
      <c r="H27" s="5">
        <f t="shared" si="0"/>
        <v>82501525.712304771</v>
      </c>
      <c r="I27">
        <f t="shared" si="1"/>
        <v>86503467.127503738</v>
      </c>
      <c r="J27" s="5">
        <f t="shared" si="7"/>
        <v>0.93923908232591036</v>
      </c>
      <c r="K27" s="6">
        <f t="shared" si="2"/>
        <v>1.0154354238667225</v>
      </c>
      <c r="L27" s="5">
        <f t="shared" si="3"/>
        <v>81249532.937999994</v>
      </c>
      <c r="M27">
        <v>0</v>
      </c>
    </row>
    <row r="28" spans="1:26" x14ac:dyDescent="0.3">
      <c r="A28" s="2">
        <v>43190</v>
      </c>
      <c r="B28">
        <v>27</v>
      </c>
      <c r="C28">
        <v>81446438.895999998</v>
      </c>
      <c r="D28" s="4">
        <f t="shared" si="4"/>
        <v>82438531.673692316</v>
      </c>
      <c r="E28" s="4">
        <f t="shared" si="5"/>
        <v>82020288.10657692</v>
      </c>
      <c r="F28">
        <f t="shared" si="6"/>
        <v>0.99300356992368444</v>
      </c>
      <c r="G28">
        <v>0.9823125470139884</v>
      </c>
      <c r="H28" s="5">
        <f>C28/G28</f>
        <v>82912957.941521823</v>
      </c>
      <c r="I28">
        <f t="shared" si="1"/>
        <v>86974826.844412088</v>
      </c>
      <c r="J28" s="5">
        <f t="shared" si="7"/>
        <v>0.94303479618650732</v>
      </c>
      <c r="K28" s="6">
        <f t="shared" si="2"/>
        <v>1.0108835247418901</v>
      </c>
      <c r="L28" s="5">
        <f t="shared" si="3"/>
        <v>81446438.895999998</v>
      </c>
      <c r="M28">
        <v>0</v>
      </c>
    </row>
    <row r="29" spans="1:26" x14ac:dyDescent="0.3">
      <c r="A29" s="2">
        <v>43220</v>
      </c>
      <c r="B29">
        <v>28</v>
      </c>
      <c r="C29">
        <v>82528139.888999999</v>
      </c>
      <c r="D29" s="4">
        <f t="shared" si="4"/>
        <v>83192249.59792307</v>
      </c>
      <c r="E29" s="4">
        <f>AVERAGE(D28:D29)</f>
        <v>82815390.635807693</v>
      </c>
      <c r="F29">
        <f t="shared" si="6"/>
        <v>0.99653143280974277</v>
      </c>
      <c r="G29">
        <v>0.98912096118084081</v>
      </c>
      <c r="H29" s="5">
        <f t="shared" si="0"/>
        <v>83435841.649210989</v>
      </c>
      <c r="I29">
        <f t="shared" si="1"/>
        <v>87446186.561320424</v>
      </c>
      <c r="J29" s="5">
        <f t="shared" si="7"/>
        <v>0.94704404951649379</v>
      </c>
      <c r="K29" s="6">
        <f t="shared" si="2"/>
        <v>1.0074919771390298</v>
      </c>
      <c r="L29" s="5">
        <f t="shared" si="3"/>
        <v>82528139.888999999</v>
      </c>
      <c r="M29">
        <v>0</v>
      </c>
    </row>
    <row r="30" spans="1:26" x14ac:dyDescent="0.3">
      <c r="A30" s="2">
        <v>43251</v>
      </c>
      <c r="B30">
        <v>29</v>
      </c>
      <c r="C30">
        <v>83471509.336999997</v>
      </c>
      <c r="D30" s="4">
        <f t="shared" si="4"/>
        <v>84083366.15200001</v>
      </c>
      <c r="E30" s="4">
        <f t="shared" si="5"/>
        <v>83637807.87496154</v>
      </c>
      <c r="F30">
        <f>C30/E30</f>
        <v>0.99801168225008763</v>
      </c>
      <c r="G30">
        <v>1.0023766990273115</v>
      </c>
      <c r="H30" s="5">
        <f t="shared" si="0"/>
        <v>83273593.06935133</v>
      </c>
      <c r="I30">
        <f t="shared" si="1"/>
        <v>87917546.278228775</v>
      </c>
      <c r="J30" s="5">
        <f t="shared" si="7"/>
        <v>0.95132099808923998</v>
      </c>
      <c r="K30" s="6">
        <f t="shared" si="2"/>
        <v>0.99564533295570457</v>
      </c>
      <c r="L30" s="5">
        <f t="shared" si="3"/>
        <v>83471509.336999997</v>
      </c>
      <c r="M30">
        <v>0</v>
      </c>
    </row>
    <row r="31" spans="1:26" x14ac:dyDescent="0.3">
      <c r="A31" s="2">
        <v>43281</v>
      </c>
      <c r="B31">
        <v>30</v>
      </c>
      <c r="C31">
        <v>83112618.229000002</v>
      </c>
      <c r="D31" s="4">
        <f>AVERAGE(C26:C38)</f>
        <v>84601148.21607694</v>
      </c>
      <c r="E31" s="4">
        <f t="shared" si="5"/>
        <v>84342257.184038475</v>
      </c>
      <c r="F31">
        <f t="shared" si="6"/>
        <v>0.98542084364240634</v>
      </c>
      <c r="G31">
        <v>1.0003415092716361</v>
      </c>
      <c r="H31" s="5">
        <f t="shared" si="0"/>
        <v>83084244.189282477</v>
      </c>
      <c r="I31">
        <f t="shared" si="1"/>
        <v>88388905.99513711</v>
      </c>
      <c r="J31" s="5">
        <f t="shared" si="7"/>
        <v>0.95421768415912656</v>
      </c>
      <c r="K31" s="6">
        <f t="shared" si="2"/>
        <v>0.9850844281768395</v>
      </c>
      <c r="L31" s="5">
        <f t="shared" si="3"/>
        <v>83112618.229000002</v>
      </c>
      <c r="M31">
        <v>0</v>
      </c>
    </row>
    <row r="32" spans="1:26" x14ac:dyDescent="0.3">
      <c r="A32" s="2">
        <v>43312</v>
      </c>
      <c r="B32">
        <v>31</v>
      </c>
      <c r="C32">
        <v>83608595.593999997</v>
      </c>
      <c r="D32" s="4">
        <f t="shared" si="4"/>
        <v>85047293.849923104</v>
      </c>
      <c r="E32" s="4">
        <f t="shared" si="5"/>
        <v>84824221.033000022</v>
      </c>
      <c r="F32">
        <f t="shared" si="6"/>
        <v>0.98566888768094785</v>
      </c>
      <c r="G32">
        <v>1.0040194025445719</v>
      </c>
      <c r="H32" s="5">
        <f t="shared" si="0"/>
        <v>83273884.331421897</v>
      </c>
      <c r="I32">
        <f t="shared" si="1"/>
        <v>88860265.712045461</v>
      </c>
      <c r="J32" s="5">
        <f t="shared" si="7"/>
        <v>0.9545798715916024</v>
      </c>
      <c r="K32" s="6">
        <f t="shared" si="2"/>
        <v>0.98172294796582937</v>
      </c>
      <c r="L32" s="5">
        <f t="shared" si="3"/>
        <v>83608595.593999997</v>
      </c>
      <c r="M32">
        <v>0</v>
      </c>
    </row>
    <row r="33" spans="1:13" x14ac:dyDescent="0.3">
      <c r="A33" s="2">
        <v>43343</v>
      </c>
      <c r="B33">
        <v>32</v>
      </c>
      <c r="C33">
        <v>85010374.583000004</v>
      </c>
      <c r="D33" s="4">
        <f t="shared" si="4"/>
        <v>85615824.470153838</v>
      </c>
      <c r="E33" s="4">
        <f t="shared" si="5"/>
        <v>85331559.160038471</v>
      </c>
      <c r="F33">
        <f t="shared" si="6"/>
        <v>0.99623603998098653</v>
      </c>
      <c r="G33">
        <v>1.0023144048936681</v>
      </c>
      <c r="H33" s="5">
        <f t="shared" si="0"/>
        <v>84814080.460131124</v>
      </c>
      <c r="I33">
        <f t="shared" si="1"/>
        <v>89331625.428953797</v>
      </c>
      <c r="J33" s="5">
        <f t="shared" si="7"/>
        <v>0.95522228270550602</v>
      </c>
      <c r="K33" s="6">
        <f t="shared" si="2"/>
        <v>0.99393567040141828</v>
      </c>
      <c r="L33" s="5">
        <f t="shared" si="3"/>
        <v>85010374.583000004</v>
      </c>
      <c r="M33">
        <v>0</v>
      </c>
    </row>
    <row r="34" spans="1:13" x14ac:dyDescent="0.3">
      <c r="A34" s="2">
        <v>43373</v>
      </c>
      <c r="B34">
        <v>33</v>
      </c>
      <c r="C34">
        <v>85348352.700000003</v>
      </c>
      <c r="D34" s="4">
        <f t="shared" si="4"/>
        <v>86148592.483461559</v>
      </c>
      <c r="E34" s="4">
        <f t="shared" si="5"/>
        <v>85882208.476807699</v>
      </c>
      <c r="F34">
        <f t="shared" si="6"/>
        <v>0.99378386063567681</v>
      </c>
      <c r="G34">
        <v>1.0006957364567286</v>
      </c>
      <c r="H34" s="5">
        <f t="shared" si="0"/>
        <v>85289014.023585364</v>
      </c>
      <c r="I34">
        <f t="shared" si="1"/>
        <v>89802985.145862147</v>
      </c>
      <c r="J34" s="5">
        <f t="shared" si="7"/>
        <v>0.9563402412215346</v>
      </c>
      <c r="K34" s="6">
        <f t="shared" si="2"/>
        <v>0.99309292967957918</v>
      </c>
      <c r="L34" s="5">
        <f t="shared" si="3"/>
        <v>85348352.700000003</v>
      </c>
      <c r="M34">
        <v>0</v>
      </c>
    </row>
    <row r="35" spans="1:13" x14ac:dyDescent="0.3">
      <c r="A35" s="2">
        <v>43404</v>
      </c>
      <c r="B35">
        <v>34</v>
      </c>
      <c r="C35">
        <v>87001344.153999999</v>
      </c>
      <c r="D35" s="4">
        <f t="shared" si="4"/>
        <v>86716852.543076918</v>
      </c>
      <c r="E35" s="4">
        <f t="shared" si="5"/>
        <v>86432722.513269246</v>
      </c>
      <c r="F35">
        <f t="shared" si="6"/>
        <v>1.0065787773912069</v>
      </c>
      <c r="G35">
        <v>1.0027899631053778</v>
      </c>
      <c r="H35" s="5">
        <f t="shared" si="0"/>
        <v>86759288.938811898</v>
      </c>
      <c r="I35">
        <f t="shared" si="1"/>
        <v>90274344.862770498</v>
      </c>
      <c r="J35" s="5">
        <f t="shared" si="7"/>
        <v>0.95744502654280073</v>
      </c>
      <c r="K35" s="6">
        <f t="shared" si="2"/>
        <v>1.0037782730434359</v>
      </c>
      <c r="L35" s="5">
        <f t="shared" si="3"/>
        <v>87001344.153999999</v>
      </c>
      <c r="M35">
        <v>0</v>
      </c>
    </row>
    <row r="36" spans="1:13" x14ac:dyDescent="0.3">
      <c r="A36" s="2">
        <v>43434</v>
      </c>
      <c r="B36">
        <v>35</v>
      </c>
      <c r="C36">
        <v>87881767.018999994</v>
      </c>
      <c r="D36" s="4">
        <f t="shared" si="4"/>
        <v>87153077.156538472</v>
      </c>
      <c r="E36" s="4">
        <f t="shared" si="5"/>
        <v>86934964.849807695</v>
      </c>
      <c r="F36">
        <f t="shared" si="6"/>
        <v>1.0108909248520206</v>
      </c>
      <c r="G36">
        <v>1.0039298869473017</v>
      </c>
      <c r="H36" s="5">
        <f t="shared" si="0"/>
        <v>87537753.543951511</v>
      </c>
      <c r="I36">
        <f t="shared" si="1"/>
        <v>90745704.579678833</v>
      </c>
      <c r="J36" s="5">
        <f t="shared" si="7"/>
        <v>0.95800638997160315</v>
      </c>
      <c r="K36" s="6">
        <f t="shared" si="2"/>
        <v>1.0069337888982324</v>
      </c>
      <c r="L36" s="5">
        <f t="shared" si="3"/>
        <v>87881767.018999994</v>
      </c>
      <c r="M36">
        <v>0</v>
      </c>
    </row>
    <row r="37" spans="1:13" x14ac:dyDescent="0.3">
      <c r="A37" s="2">
        <v>43465</v>
      </c>
      <c r="B37">
        <v>36</v>
      </c>
      <c r="C37">
        <v>91008617.066</v>
      </c>
      <c r="D37" s="4">
        <f t="shared" si="4"/>
        <v>87721206.868538469</v>
      </c>
      <c r="E37" s="4">
        <f t="shared" si="5"/>
        <v>87437142.012538463</v>
      </c>
      <c r="F37">
        <f t="shared" si="6"/>
        <v>1.0408462007249664</v>
      </c>
      <c r="G37">
        <v>1.006828227018538</v>
      </c>
      <c r="H37" s="5">
        <f>C37/G37</f>
        <v>90391404.038699359</v>
      </c>
      <c r="I37">
        <f t="shared" si="1"/>
        <v>91217064.296587184</v>
      </c>
      <c r="J37" s="5">
        <f t="shared" si="7"/>
        <v>0.95856123727290199</v>
      </c>
      <c r="K37" s="6">
        <f t="shared" si="2"/>
        <v>1.0337872665798851</v>
      </c>
      <c r="L37" s="5">
        <f t="shared" si="3"/>
        <v>91008617.066</v>
      </c>
      <c r="M37">
        <v>0</v>
      </c>
    </row>
    <row r="38" spans="1:13" x14ac:dyDescent="0.3">
      <c r="A38" s="2">
        <v>43496</v>
      </c>
      <c r="B38">
        <v>37</v>
      </c>
      <c r="C38">
        <v>87595500.759000003</v>
      </c>
      <c r="D38" s="4">
        <f t="shared" si="4"/>
        <v>88339995.343692318</v>
      </c>
      <c r="E38" s="4">
        <f t="shared" si="5"/>
        <v>88030601.106115401</v>
      </c>
      <c r="F38">
        <f t="shared" si="6"/>
        <v>0.99505739661381032</v>
      </c>
      <c r="G38">
        <v>0.9903476639815243</v>
      </c>
      <c r="H38" s="5">
        <f t="shared" si="0"/>
        <v>88449242.568854243</v>
      </c>
      <c r="I38">
        <f t="shared" si="1"/>
        <v>91688424.01349552</v>
      </c>
      <c r="J38" s="5">
        <f t="shared" si="7"/>
        <v>0.96010594634234603</v>
      </c>
      <c r="K38" s="6">
        <f t="shared" si="2"/>
        <v>1.0047556356253231</v>
      </c>
      <c r="L38" s="5">
        <f t="shared" si="3"/>
        <v>87595500.759000003</v>
      </c>
      <c r="M38">
        <v>0</v>
      </c>
    </row>
    <row r="39" spans="1:13" x14ac:dyDescent="0.3">
      <c r="A39" s="2">
        <v>43524</v>
      </c>
      <c r="B39">
        <v>38</v>
      </c>
      <c r="C39">
        <v>86352028.885000005</v>
      </c>
      <c r="D39" s="4">
        <f t="shared" si="4"/>
        <v>88851587.924461544</v>
      </c>
      <c r="E39" s="4">
        <f t="shared" si="5"/>
        <v>88595791.634076923</v>
      </c>
      <c r="F39">
        <f t="shared" si="6"/>
        <v>0.97467416106687976</v>
      </c>
      <c r="G39">
        <v>0.984824610654224</v>
      </c>
      <c r="H39" s="5">
        <f t="shared" si="0"/>
        <v>87682647.19505325</v>
      </c>
      <c r="I39">
        <f t="shared" si="1"/>
        <v>92159783.73040387</v>
      </c>
      <c r="J39" s="5">
        <f t="shared" si="7"/>
        <v>0.96132812000999546</v>
      </c>
      <c r="K39" s="6">
        <f t="shared" si="2"/>
        <v>0.98969313979612961</v>
      </c>
      <c r="L39" s="5">
        <f t="shared" si="3"/>
        <v>86352028.885000005</v>
      </c>
      <c r="M39">
        <v>0</v>
      </c>
    </row>
    <row r="40" spans="1:13" x14ac:dyDescent="0.3">
      <c r="A40" s="2">
        <v>43555</v>
      </c>
      <c r="B40">
        <v>39</v>
      </c>
      <c r="C40">
        <v>88640431.001000002</v>
      </c>
      <c r="D40" s="4">
        <f>AVERAGE(C35:C47)</f>
        <v>89523377.451692313</v>
      </c>
      <c r="E40" s="4">
        <f>AVERAGE(D39:D40)</f>
        <v>89187482.688076928</v>
      </c>
      <c r="F40">
        <f>C40/E40</f>
        <v>0.9938662728155454</v>
      </c>
      <c r="G40">
        <v>0.9823125470139884</v>
      </c>
      <c r="H40" s="5">
        <f t="shared" si="0"/>
        <v>90236484.579625085</v>
      </c>
      <c r="I40">
        <f t="shared" si="1"/>
        <v>92631143.447312206</v>
      </c>
      <c r="J40" s="5">
        <f t="shared" si="7"/>
        <v>0.96282394202340815</v>
      </c>
      <c r="K40" s="6">
        <f t="shared" si="2"/>
        <v>1.0117617614034127</v>
      </c>
      <c r="L40" s="5">
        <f t="shared" si="3"/>
        <v>88640431.001000002</v>
      </c>
      <c r="M40">
        <v>0</v>
      </c>
    </row>
    <row r="41" spans="1:13" x14ac:dyDescent="0.3">
      <c r="A41" s="2">
        <v>43585</v>
      </c>
      <c r="B41">
        <v>40</v>
      </c>
      <c r="C41">
        <v>88372423.069000006</v>
      </c>
      <c r="D41" s="4">
        <f t="shared" si="4"/>
        <v>90102657.806461543</v>
      </c>
      <c r="E41" s="4">
        <f t="shared" si="5"/>
        <v>89813017.629076928</v>
      </c>
      <c r="F41">
        <f t="shared" si="6"/>
        <v>0.98396006950766868</v>
      </c>
      <c r="G41">
        <v>0.98912096118084081</v>
      </c>
      <c r="H41" s="5">
        <f t="shared" si="0"/>
        <v>89344404.311782539</v>
      </c>
      <c r="I41">
        <f t="shared" si="1"/>
        <v>93102503.164220557</v>
      </c>
      <c r="J41" s="5">
        <f t="shared" si="7"/>
        <v>0.96466813003575846</v>
      </c>
      <c r="K41" s="6">
        <f t="shared" si="2"/>
        <v>0.99478234525834841</v>
      </c>
      <c r="L41" s="5">
        <f t="shared" si="3"/>
        <v>88372423.069000006</v>
      </c>
      <c r="M41">
        <v>0</v>
      </c>
    </row>
    <row r="42" spans="1:13" x14ac:dyDescent="0.3">
      <c r="A42" s="2">
        <v>43616</v>
      </c>
      <c r="B42">
        <v>41</v>
      </c>
      <c r="C42">
        <v>89915520.664000005</v>
      </c>
      <c r="D42" s="4">
        <f t="shared" si="4"/>
        <v>90590119.536923096</v>
      </c>
      <c r="E42" s="4">
        <f t="shared" si="5"/>
        <v>90346388.671692312</v>
      </c>
      <c r="F42">
        <f t="shared" si="6"/>
        <v>0.99523093270215779</v>
      </c>
      <c r="G42">
        <v>1.0023766990273115</v>
      </c>
      <c r="H42" s="5">
        <f t="shared" si="0"/>
        <v>89702325.234866709</v>
      </c>
      <c r="I42">
        <f t="shared" si="1"/>
        <v>93573862.881128907</v>
      </c>
      <c r="J42" s="5">
        <f t="shared" si="7"/>
        <v>0.96550880651858306</v>
      </c>
      <c r="K42" s="6">
        <f t="shared" si="2"/>
        <v>0.99287117674214909</v>
      </c>
      <c r="L42" s="5">
        <f t="shared" si="3"/>
        <v>89915520.664000005</v>
      </c>
      <c r="M42">
        <v>0</v>
      </c>
    </row>
    <row r="43" spans="1:13" x14ac:dyDescent="0.3">
      <c r="A43" s="2">
        <v>43646</v>
      </c>
      <c r="B43">
        <v>42</v>
      </c>
      <c r="C43">
        <v>89142429.312000006</v>
      </c>
      <c r="D43" s="4">
        <f t="shared" si="4"/>
        <v>90796810.759769261</v>
      </c>
      <c r="E43" s="4">
        <f t="shared" si="5"/>
        <v>90693465.148346186</v>
      </c>
      <c r="F43">
        <f t="shared" si="6"/>
        <v>0.98289804195033048</v>
      </c>
      <c r="G43">
        <v>1.0003415092716361</v>
      </c>
      <c r="H43" s="5">
        <f t="shared" si="0"/>
        <v>89111996.738899663</v>
      </c>
      <c r="I43">
        <f t="shared" si="1"/>
        <v>94045222.598037243</v>
      </c>
      <c r="J43" s="5">
        <f t="shared" si="7"/>
        <v>0.96436015188121837</v>
      </c>
      <c r="K43" s="6">
        <f t="shared" si="2"/>
        <v>0.98256248775080191</v>
      </c>
      <c r="L43" s="5">
        <f t="shared" si="3"/>
        <v>89142429.312000006</v>
      </c>
      <c r="M43">
        <v>0</v>
      </c>
    </row>
    <row r="44" spans="1:13" x14ac:dyDescent="0.3">
      <c r="A44" s="2">
        <v>43677</v>
      </c>
      <c r="B44">
        <v>43</v>
      </c>
      <c r="C44">
        <v>90498304.484999999</v>
      </c>
      <c r="D44" s="4">
        <f t="shared" si="4"/>
        <v>91379521.734999999</v>
      </c>
      <c r="E44" s="4">
        <f t="shared" si="5"/>
        <v>91088166.247384638</v>
      </c>
      <c r="F44">
        <f t="shared" si="6"/>
        <v>0.99352427667955634</v>
      </c>
      <c r="G44">
        <v>1.0040194025445719</v>
      </c>
      <c r="H44" s="5">
        <f t="shared" si="0"/>
        <v>90136011.570735022</v>
      </c>
      <c r="I44">
        <f t="shared" si="1"/>
        <v>94516582.314945593</v>
      </c>
      <c r="J44" s="5">
        <f t="shared" si="7"/>
        <v>0.96372682990020864</v>
      </c>
      <c r="K44" s="6">
        <f t="shared" si="2"/>
        <v>0.98954688939435143</v>
      </c>
      <c r="L44" s="5">
        <f t="shared" si="3"/>
        <v>90498304.484999999</v>
      </c>
      <c r="M44">
        <v>0</v>
      </c>
    </row>
    <row r="45" spans="1:13" x14ac:dyDescent="0.3">
      <c r="A45" s="2">
        <v>43708</v>
      </c>
      <c r="B45">
        <v>44</v>
      </c>
      <c r="C45">
        <v>91652845.770999998</v>
      </c>
      <c r="D45" s="4">
        <f t="shared" si="4"/>
        <v>92354846.022307694</v>
      </c>
      <c r="E45" s="4">
        <f t="shared" si="5"/>
        <v>91867183.878653854</v>
      </c>
      <c r="F45">
        <f t="shared" si="6"/>
        <v>0.99766686972861851</v>
      </c>
      <c r="G45">
        <v>1.0023144048936681</v>
      </c>
      <c r="H45" s="5">
        <f t="shared" si="0"/>
        <v>91441213.778348446</v>
      </c>
      <c r="I45">
        <f t="shared" si="1"/>
        <v>94987942.031853929</v>
      </c>
      <c r="J45" s="5">
        <f t="shared" si="7"/>
        <v>0.96714574411820042</v>
      </c>
      <c r="K45" s="6">
        <f t="shared" si="2"/>
        <v>0.99536319627617975</v>
      </c>
      <c r="L45" s="5">
        <f t="shared" si="3"/>
        <v>91652845.770999998</v>
      </c>
      <c r="M45">
        <v>0</v>
      </c>
    </row>
    <row r="46" spans="1:13" x14ac:dyDescent="0.3">
      <c r="A46" s="2">
        <v>43738</v>
      </c>
      <c r="B46">
        <v>45</v>
      </c>
      <c r="C46">
        <v>91661078.133000001</v>
      </c>
      <c r="D46" s="4">
        <f t="shared" si="4"/>
        <v>93233797.017384619</v>
      </c>
      <c r="E46" s="4">
        <f t="shared" si="5"/>
        <v>92794321.519846156</v>
      </c>
      <c r="F46">
        <f t="shared" si="6"/>
        <v>0.98778757828835695</v>
      </c>
      <c r="G46">
        <v>1.0006957364567286</v>
      </c>
      <c r="H46" s="5">
        <f>C46/G46</f>
        <v>91597350.516905636</v>
      </c>
      <c r="I46">
        <f t="shared" si="1"/>
        <v>95459301.74876228</v>
      </c>
      <c r="J46" s="5">
        <f t="shared" si="7"/>
        <v>0.97208255057291282</v>
      </c>
      <c r="K46" s="6">
        <f t="shared" si="2"/>
        <v>0.98710081626401547</v>
      </c>
      <c r="L46" s="5">
        <f t="shared" si="3"/>
        <v>91661078.133000001</v>
      </c>
      <c r="M46">
        <v>0</v>
      </c>
    </row>
    <row r="47" spans="1:13" x14ac:dyDescent="0.3">
      <c r="A47" s="2">
        <v>43769</v>
      </c>
      <c r="B47">
        <v>46</v>
      </c>
      <c r="C47">
        <v>94081616.554000005</v>
      </c>
      <c r="D47" s="4">
        <f t="shared" si="4"/>
        <v>95014716.509538472</v>
      </c>
      <c r="E47" s="4">
        <f t="shared" si="5"/>
        <v>94124256.763461545</v>
      </c>
      <c r="F47">
        <f t="shared" si="6"/>
        <v>0.99954697958923922</v>
      </c>
      <c r="G47">
        <v>1.0027899631053778</v>
      </c>
      <c r="H47" s="5">
        <f t="shared" si="0"/>
        <v>93819862.598797739</v>
      </c>
      <c r="I47">
        <f t="shared" si="1"/>
        <v>95930661.465670615</v>
      </c>
      <c r="J47" s="5">
        <f t="shared" si="7"/>
        <v>0.981169683658905</v>
      </c>
      <c r="K47" s="6">
        <f t="shared" si="2"/>
        <v>0.99676603911541362</v>
      </c>
      <c r="L47" s="5">
        <f t="shared" si="3"/>
        <v>94081616.554000005</v>
      </c>
      <c r="M47">
        <v>0</v>
      </c>
    </row>
    <row r="48" spans="1:13" x14ac:dyDescent="0.3">
      <c r="A48" s="2">
        <v>43799</v>
      </c>
      <c r="B48">
        <v>47</v>
      </c>
      <c r="C48">
        <v>94531988.766000003</v>
      </c>
      <c r="D48" s="4">
        <f t="shared" si="4"/>
        <v>96561902.201076925</v>
      </c>
      <c r="E48" s="4">
        <f t="shared" si="5"/>
        <v>95788309.355307698</v>
      </c>
      <c r="F48">
        <f t="shared" si="6"/>
        <v>0.98688440585533643</v>
      </c>
      <c r="G48">
        <v>1.0039298869473017</v>
      </c>
      <c r="H48" s="5">
        <f t="shared" si="0"/>
        <v>94161942.975368544</v>
      </c>
      <c r="I48">
        <f t="shared" si="1"/>
        <v>96402021.182578966</v>
      </c>
      <c r="J48" s="5">
        <f t="shared" si="7"/>
        <v>0.9936338282149817</v>
      </c>
      <c r="K48" s="6">
        <f t="shared" si="2"/>
        <v>0.98302124350157927</v>
      </c>
      <c r="L48" s="5">
        <f t="shared" si="3"/>
        <v>94531988.766000003</v>
      </c>
      <c r="M48">
        <v>0</v>
      </c>
    </row>
    <row r="49" spans="1:13" x14ac:dyDescent="0.3">
      <c r="A49" s="2">
        <v>43830</v>
      </c>
      <c r="B49">
        <v>48</v>
      </c>
      <c r="C49">
        <v>94218769.515000001</v>
      </c>
      <c r="D49" s="4">
        <f t="shared" si="4"/>
        <v>98163097.694846153</v>
      </c>
      <c r="E49" s="4">
        <f t="shared" si="5"/>
        <v>97362499.947961539</v>
      </c>
      <c r="F49">
        <f t="shared" si="6"/>
        <v>0.96771107526366107</v>
      </c>
      <c r="G49">
        <v>1.006828227018538</v>
      </c>
      <c r="H49" s="5">
        <f t="shared" si="0"/>
        <v>93579785.495292053</v>
      </c>
      <c r="I49">
        <f t="shared" si="1"/>
        <v>96873380.899487317</v>
      </c>
      <c r="J49" s="5">
        <f t="shared" si="7"/>
        <v>1.0050490552093121</v>
      </c>
      <c r="K49" s="6">
        <f t="shared" si="2"/>
        <v>0.96114813758180728</v>
      </c>
      <c r="L49" s="5">
        <f t="shared" si="3"/>
        <v>94218769.515000001</v>
      </c>
      <c r="M49">
        <v>0</v>
      </c>
    </row>
    <row r="50" spans="1:13" x14ac:dyDescent="0.3">
      <c r="A50" s="2">
        <v>43861</v>
      </c>
      <c r="B50">
        <v>49</v>
      </c>
      <c r="C50">
        <v>93695602.963</v>
      </c>
      <c r="D50" s="4">
        <f>AVERAGE(C45:C57)</f>
        <v>99786057.887692302</v>
      </c>
      <c r="E50" s="4">
        <f t="shared" si="5"/>
        <v>98974577.791269228</v>
      </c>
      <c r="F50">
        <f>C50/E50</f>
        <v>0.94666332561274236</v>
      </c>
      <c r="G50">
        <v>0.9903476639815243</v>
      </c>
      <c r="H50" s="5">
        <f t="shared" si="0"/>
        <v>94608798.880095065</v>
      </c>
      <c r="I50">
        <f t="shared" si="1"/>
        <v>97344740.616395652</v>
      </c>
      <c r="J50" s="5">
        <f t="shared" si="7"/>
        <v>1.0167429402405646</v>
      </c>
      <c r="K50" s="6">
        <f t="shared" si="2"/>
        <v>0.9558898960864346</v>
      </c>
      <c r="L50" s="5">
        <f t="shared" si="3"/>
        <v>93695602.963</v>
      </c>
      <c r="M50">
        <v>0</v>
      </c>
    </row>
    <row r="51" spans="1:13" x14ac:dyDescent="0.3">
      <c r="A51" s="2">
        <v>43890</v>
      </c>
      <c r="B51">
        <v>50</v>
      </c>
      <c r="C51">
        <v>95170743.437000006</v>
      </c>
      <c r="D51" s="4">
        <f t="shared" si="4"/>
        <v>101337978.24315387</v>
      </c>
      <c r="E51" s="4">
        <f>AVERAGE(D50:D51)</f>
        <v>100562018.06542309</v>
      </c>
      <c r="F51">
        <f t="shared" si="6"/>
        <v>0.94638855969541447</v>
      </c>
      <c r="G51">
        <v>0.984824610654224</v>
      </c>
      <c r="H51" s="5">
        <f t="shared" si="0"/>
        <v>96637251.351565629</v>
      </c>
      <c r="I51">
        <f t="shared" si="1"/>
        <v>97816100.333304003</v>
      </c>
      <c r="J51" s="5">
        <f t="shared" si="7"/>
        <v>1.0280722470305246</v>
      </c>
      <c r="K51" s="6">
        <f t="shared" si="2"/>
        <v>0.96097167907565162</v>
      </c>
      <c r="L51" s="5">
        <f t="shared" si="3"/>
        <v>95170743.437000006</v>
      </c>
      <c r="M51">
        <v>0</v>
      </c>
    </row>
    <row r="52" spans="1:13" x14ac:dyDescent="0.3">
      <c r="A52" s="2">
        <v>43921</v>
      </c>
      <c r="B52">
        <v>51</v>
      </c>
      <c r="C52">
        <v>99031244.620000005</v>
      </c>
      <c r="D52" s="4">
        <f t="shared" si="4"/>
        <v>102909672.87515385</v>
      </c>
      <c r="E52" s="4">
        <f t="shared" si="5"/>
        <v>102123825.55915385</v>
      </c>
      <c r="F52">
        <f t="shared" si="6"/>
        <v>0.9697173414507223</v>
      </c>
      <c r="G52">
        <v>0.9823125470139884</v>
      </c>
      <c r="H52" s="5">
        <f t="shared" si="0"/>
        <v>100814394.48272645</v>
      </c>
      <c r="I52">
        <f t="shared" si="1"/>
        <v>98287460.050212339</v>
      </c>
      <c r="J52" s="5">
        <f t="shared" si="7"/>
        <v>1.0390320953149224</v>
      </c>
      <c r="K52" s="6">
        <f t="shared" si="2"/>
        <v>0.98717800602104433</v>
      </c>
      <c r="L52" s="5">
        <f t="shared" si="3"/>
        <v>99031244.620000005</v>
      </c>
      <c r="M52">
        <v>0</v>
      </c>
    </row>
    <row r="53" spans="1:13" x14ac:dyDescent="0.3">
      <c r="A53" s="2">
        <v>43951</v>
      </c>
      <c r="B53">
        <v>52</v>
      </c>
      <c r="C53">
        <v>100066793.93700001</v>
      </c>
      <c r="D53" s="4">
        <f t="shared" si="4"/>
        <v>104312743.0993077</v>
      </c>
      <c r="E53" s="4">
        <f t="shared" si="5"/>
        <v>103611207.98723078</v>
      </c>
      <c r="F53">
        <f t="shared" si="6"/>
        <v>0.96579121005260749</v>
      </c>
      <c r="G53">
        <v>0.98912096118084081</v>
      </c>
      <c r="H53" s="5">
        <f t="shared" si="0"/>
        <v>101167397.98693319</v>
      </c>
      <c r="I53">
        <f t="shared" si="1"/>
        <v>98758819.767120689</v>
      </c>
      <c r="J53" s="5">
        <f t="shared" si="7"/>
        <v>1.0491337202242019</v>
      </c>
      <c r="K53" s="6">
        <f t="shared" si="2"/>
        <v>0.97641365207711139</v>
      </c>
      <c r="L53" s="5">
        <f t="shared" si="3"/>
        <v>100066793.93700001</v>
      </c>
      <c r="M53">
        <v>0</v>
      </c>
    </row>
    <row r="54" spans="1:13" x14ac:dyDescent="0.3">
      <c r="A54" s="2">
        <v>43982</v>
      </c>
      <c r="B54">
        <v>53</v>
      </c>
      <c r="C54">
        <v>111524376.46699999</v>
      </c>
      <c r="D54" s="4">
        <f t="shared" si="4"/>
        <v>105667374.82484616</v>
      </c>
      <c r="E54" s="4">
        <f t="shared" si="5"/>
        <v>104990058.96207693</v>
      </c>
      <c r="F54">
        <f t="shared" si="6"/>
        <v>1.0622374877157017</v>
      </c>
      <c r="G54">
        <v>1.0023766990273115</v>
      </c>
      <c r="H54" s="5">
        <f t="shared" si="0"/>
        <v>111259945.06378816</v>
      </c>
      <c r="I54">
        <f t="shared" si="1"/>
        <v>99230179.484029025</v>
      </c>
      <c r="J54" s="5">
        <f t="shared" si="7"/>
        <v>1.0580456420415418</v>
      </c>
      <c r="K54" s="6">
        <f t="shared" si="2"/>
        <v>1.0597188549439329</v>
      </c>
      <c r="L54" s="5">
        <f t="shared" si="3"/>
        <v>111524376.46699999</v>
      </c>
      <c r="M54">
        <v>0</v>
      </c>
    </row>
    <row r="55" spans="1:13" x14ac:dyDescent="0.3">
      <c r="A55" s="2">
        <v>44012</v>
      </c>
      <c r="B55">
        <v>54</v>
      </c>
      <c r="C55">
        <v>110028934.654</v>
      </c>
      <c r="D55" s="4">
        <f t="shared" si="4"/>
        <v>106976717.831</v>
      </c>
      <c r="E55" s="4">
        <f t="shared" si="5"/>
        <v>106322046.32792309</v>
      </c>
      <c r="F55">
        <f t="shared" si="6"/>
        <v>1.0348647195393885</v>
      </c>
      <c r="G55">
        <v>1.0003415092716361</v>
      </c>
      <c r="H55" s="5">
        <f>C55/G55</f>
        <v>109991371.58080518</v>
      </c>
      <c r="I55">
        <f t="shared" si="1"/>
        <v>99701539.200937375</v>
      </c>
      <c r="J55" s="5">
        <f t="shared" si="7"/>
        <v>1.0664032589671741</v>
      </c>
      <c r="K55" s="6">
        <f t="shared" si="2"/>
        <v>1.0345114242963778</v>
      </c>
      <c r="L55" s="5">
        <f t="shared" si="3"/>
        <v>110028934.654</v>
      </c>
      <c r="M55">
        <v>0</v>
      </c>
    </row>
    <row r="56" spans="1:13" x14ac:dyDescent="0.3">
      <c r="A56" s="2">
        <v>44043</v>
      </c>
      <c r="B56">
        <v>55</v>
      </c>
      <c r="C56">
        <v>109957970.73100001</v>
      </c>
      <c r="D56" s="4">
        <f t="shared" si="4"/>
        <v>108288668.22169231</v>
      </c>
      <c r="E56" s="4">
        <f t="shared" si="5"/>
        <v>107632693.02634615</v>
      </c>
      <c r="F56">
        <f t="shared" si="6"/>
        <v>1.0216038235156364</v>
      </c>
      <c r="G56">
        <v>1.0040194025445719</v>
      </c>
      <c r="H56" s="5">
        <f t="shared" si="0"/>
        <v>109517774.70866017</v>
      </c>
      <c r="I56">
        <f t="shared" si="1"/>
        <v>100172898.91784573</v>
      </c>
      <c r="J56" s="5">
        <f t="shared" si="7"/>
        <v>1.0744691846705803</v>
      </c>
      <c r="K56" s="6">
        <f t="shared" si="2"/>
        <v>1.0175140250541961</v>
      </c>
      <c r="L56" s="5">
        <f t="shared" si="3"/>
        <v>109957970.73100002</v>
      </c>
      <c r="M56">
        <v>0</v>
      </c>
    </row>
    <row r="57" spans="1:13" x14ac:dyDescent="0.3">
      <c r="A57" s="2">
        <v>44074</v>
      </c>
      <c r="B57">
        <v>56</v>
      </c>
      <c r="C57">
        <v>111596786.992</v>
      </c>
      <c r="D57" s="4">
        <f t="shared" si="4"/>
        <v>109504130.62046154</v>
      </c>
      <c r="E57" s="4">
        <f t="shared" si="5"/>
        <v>108896399.42107692</v>
      </c>
      <c r="F57">
        <f t="shared" si="6"/>
        <v>1.0247977672841257</v>
      </c>
      <c r="G57">
        <v>1.0023144048936681</v>
      </c>
      <c r="H57" s="5">
        <f t="shared" si="0"/>
        <v>111339103.22663566</v>
      </c>
      <c r="I57">
        <f t="shared" si="1"/>
        <v>100644258.63475406</v>
      </c>
      <c r="J57" s="5">
        <f t="shared" si="7"/>
        <v>1.0819931598509809</v>
      </c>
      <c r="K57" s="6">
        <f t="shared" si="2"/>
        <v>1.0224314469398881</v>
      </c>
      <c r="L57" s="5">
        <f t="shared" si="3"/>
        <v>111596786.992</v>
      </c>
      <c r="M57">
        <v>0</v>
      </c>
    </row>
    <row r="58" spans="1:13" x14ac:dyDescent="0.3">
      <c r="A58" s="2">
        <v>44104</v>
      </c>
      <c r="B58">
        <v>57</v>
      </c>
      <c r="C58">
        <v>111827810.392</v>
      </c>
      <c r="D58" s="4">
        <f t="shared" si="4"/>
        <v>110503141.17384616</v>
      </c>
      <c r="E58" s="4">
        <f t="shared" si="5"/>
        <v>110003635.89715385</v>
      </c>
      <c r="F58">
        <f t="shared" si="6"/>
        <v>1.0165828563753259</v>
      </c>
      <c r="G58">
        <v>1.0006957364567286</v>
      </c>
      <c r="H58" s="5">
        <f t="shared" si="0"/>
        <v>111750061.7999641</v>
      </c>
      <c r="I58">
        <f t="shared" si="1"/>
        <v>101115618.35166241</v>
      </c>
      <c r="J58" s="5">
        <f t="shared" si="7"/>
        <v>1.0878995519226364</v>
      </c>
      <c r="K58" s="6">
        <f t="shared" si="2"/>
        <v>1.0158760743548789</v>
      </c>
      <c r="L58" s="5">
        <f t="shared" si="3"/>
        <v>111827810.392</v>
      </c>
      <c r="M58">
        <v>0</v>
      </c>
    </row>
    <row r="59" spans="1:13" x14ac:dyDescent="0.3">
      <c r="A59" s="2">
        <v>44135</v>
      </c>
      <c r="B59">
        <v>58</v>
      </c>
      <c r="C59">
        <v>112093108.34900001</v>
      </c>
      <c r="D59" s="4">
        <f>AVERAGE(C54:C66)</f>
        <v>111573837.91846155</v>
      </c>
      <c r="E59" s="4">
        <f t="shared" si="5"/>
        <v>111038489.54615384</v>
      </c>
      <c r="F59">
        <f t="shared" si="6"/>
        <v>1.0094977769164251</v>
      </c>
      <c r="G59">
        <v>1.0027899631053778</v>
      </c>
      <c r="H59" s="5">
        <f t="shared" si="0"/>
        <v>111781242.80569883</v>
      </c>
      <c r="I59">
        <f t="shared" si="1"/>
        <v>101586978.06857075</v>
      </c>
      <c r="J59" s="5">
        <f t="shared" si="7"/>
        <v>1.0930386124017133</v>
      </c>
      <c r="K59" s="6">
        <f t="shared" si="2"/>
        <v>1.0066891513256424</v>
      </c>
      <c r="L59" s="5">
        <f t="shared" si="3"/>
        <v>112093108.34900002</v>
      </c>
      <c r="M59">
        <v>0</v>
      </c>
    </row>
    <row r="60" spans="1:13" x14ac:dyDescent="0.3">
      <c r="A60" s="2">
        <v>44165</v>
      </c>
      <c r="B60">
        <v>59</v>
      </c>
      <c r="C60">
        <v>112321529.46799999</v>
      </c>
      <c r="D60" s="4">
        <f t="shared" si="4"/>
        <v>111966205.23553847</v>
      </c>
      <c r="E60" s="4">
        <f t="shared" si="5"/>
        <v>111770021.57700001</v>
      </c>
      <c r="F60">
        <f>C60/E60</f>
        <v>1.0049343096048349</v>
      </c>
      <c r="G60">
        <v>1.0039298869473017</v>
      </c>
      <c r="H60" s="5">
        <f t="shared" si="0"/>
        <v>111881846.459957</v>
      </c>
      <c r="I60">
        <f t="shared" si="1"/>
        <v>102058337.7854791</v>
      </c>
      <c r="J60" s="5">
        <f t="shared" si="7"/>
        <v>1.095158161520662</v>
      </c>
      <c r="K60" s="6">
        <f t="shared" si="2"/>
        <v>1.0010004908416337</v>
      </c>
      <c r="L60" s="5">
        <f t="shared" si="3"/>
        <v>112321529.46799998</v>
      </c>
      <c r="M60">
        <v>0</v>
      </c>
    </row>
    <row r="61" spans="1:13" x14ac:dyDescent="0.3">
      <c r="A61" s="2">
        <v>44196</v>
      </c>
      <c r="B61">
        <v>60</v>
      </c>
      <c r="C61">
        <v>112142201.198</v>
      </c>
      <c r="D61" s="4">
        <f t="shared" si="4"/>
        <v>112712459.06030768</v>
      </c>
      <c r="E61" s="4">
        <f t="shared" si="5"/>
        <v>112339332.14792308</v>
      </c>
      <c r="F61">
        <f t="shared" si="6"/>
        <v>0.99824521878353778</v>
      </c>
      <c r="G61">
        <v>1.006828227018538</v>
      </c>
      <c r="H61" s="5">
        <f t="shared" si="0"/>
        <v>111381661.92467625</v>
      </c>
      <c r="I61">
        <f t="shared" si="1"/>
        <v>102529697.50238743</v>
      </c>
      <c r="J61" s="5">
        <f t="shared" si="7"/>
        <v>1.0956760322569685</v>
      </c>
      <c r="K61" s="6">
        <f t="shared" si="2"/>
        <v>0.99147520102767028</v>
      </c>
      <c r="L61" s="5">
        <f t="shared" si="3"/>
        <v>112142201.198</v>
      </c>
      <c r="M61">
        <v>0</v>
      </c>
    </row>
    <row r="62" spans="1:13" x14ac:dyDescent="0.3">
      <c r="A62" s="2">
        <v>44227</v>
      </c>
      <c r="B62">
        <v>61</v>
      </c>
      <c r="C62">
        <v>111240228.595</v>
      </c>
      <c r="D62" s="4">
        <f t="shared" si="4"/>
        <v>113454742.63361539</v>
      </c>
      <c r="E62" s="4">
        <f>AVERAGE(D61:D62)</f>
        <v>113083600.84696153</v>
      </c>
      <c r="F62">
        <f t="shared" si="6"/>
        <v>0.98369903117556179</v>
      </c>
      <c r="G62">
        <v>0.9903476639815243</v>
      </c>
      <c r="H62" s="5">
        <f>C62/G62</f>
        <v>112324421.65590373</v>
      </c>
      <c r="I62">
        <f t="shared" si="1"/>
        <v>103001057.21929578</v>
      </c>
      <c r="J62" s="5">
        <f t="shared" si="7"/>
        <v>1.0978877683381383</v>
      </c>
      <c r="K62" s="6">
        <f t="shared" si="2"/>
        <v>0.99328656688174244</v>
      </c>
      <c r="L62" s="5">
        <f t="shared" si="3"/>
        <v>111240228.595</v>
      </c>
      <c r="M62">
        <v>0</v>
      </c>
    </row>
    <row r="63" spans="1:13" x14ac:dyDescent="0.3">
      <c r="A63" s="2">
        <v>44255</v>
      </c>
      <c r="B63">
        <v>62</v>
      </c>
      <c r="C63">
        <v>110750958.042</v>
      </c>
      <c r="D63" s="4">
        <f t="shared" si="4"/>
        <v>114056817.376</v>
      </c>
      <c r="E63" s="4">
        <f>AVERAGE(D62:D63)</f>
        <v>113755780.0048077</v>
      </c>
      <c r="F63">
        <f t="shared" si="6"/>
        <v>0.97358532495948158</v>
      </c>
      <c r="G63">
        <v>0.984824610654224</v>
      </c>
      <c r="H63" s="5">
        <f t="shared" si="0"/>
        <v>112457545.07335836</v>
      </c>
      <c r="I63">
        <f t="shared" si="1"/>
        <v>103472416.93620414</v>
      </c>
      <c r="J63" s="5">
        <f t="shared" si="7"/>
        <v>1.0993826506917661</v>
      </c>
      <c r="K63" s="6">
        <f t="shared" si="2"/>
        <v>0.98858752556226626</v>
      </c>
      <c r="L63" s="5">
        <f t="shared" si="3"/>
        <v>110750958.042</v>
      </c>
      <c r="M63">
        <v>0</v>
      </c>
    </row>
    <row r="64" spans="1:13" x14ac:dyDescent="0.3">
      <c r="A64" s="2">
        <v>44286</v>
      </c>
      <c r="B64">
        <v>63</v>
      </c>
      <c r="C64">
        <v>110971754.62100001</v>
      </c>
      <c r="D64" s="4">
        <f t="shared" si="4"/>
        <v>114561661.28861538</v>
      </c>
      <c r="E64" s="4">
        <f t="shared" ref="E64:E71" si="19">AVERAGE(D63:D64)</f>
        <v>114309239.3323077</v>
      </c>
      <c r="F64">
        <f t="shared" si="6"/>
        <v>0.97080301880405917</v>
      </c>
      <c r="G64">
        <v>0.9823125470139884</v>
      </c>
      <c r="H64" s="5">
        <f t="shared" si="0"/>
        <v>112969904.49560015</v>
      </c>
      <c r="I64">
        <f t="shared" si="1"/>
        <v>103943776.65311247</v>
      </c>
      <c r="J64" s="5">
        <f t="shared" si="7"/>
        <v>1.0997218209011923</v>
      </c>
      <c r="K64" s="6">
        <f t="shared" si="2"/>
        <v>0.98828323200704737</v>
      </c>
      <c r="L64" s="5">
        <f t="shared" si="3"/>
        <v>110971754.62100001</v>
      </c>
      <c r="M64">
        <v>0</v>
      </c>
    </row>
    <row r="65" spans="1:13" x14ac:dyDescent="0.3">
      <c r="A65" s="2">
        <v>44316</v>
      </c>
      <c r="B65">
        <v>64</v>
      </c>
      <c r="C65">
        <v>112018381.814</v>
      </c>
      <c r="D65" s="4">
        <f t="shared" si="4"/>
        <v>115094449.40784614</v>
      </c>
      <c r="E65" s="4">
        <f t="shared" si="19"/>
        <v>114828055.34823075</v>
      </c>
      <c r="F65">
        <f t="shared" si="6"/>
        <v>0.9755314715928084</v>
      </c>
      <c r="G65">
        <v>0.98912096118084081</v>
      </c>
      <c r="H65" s="5">
        <f t="shared" si="0"/>
        <v>113250437.72226731</v>
      </c>
      <c r="I65">
        <f t="shared" si="1"/>
        <v>104415136.37002082</v>
      </c>
      <c r="J65" s="5">
        <f t="shared" si="7"/>
        <v>1.0997261445056126</v>
      </c>
      <c r="K65" s="6">
        <f t="shared" si="2"/>
        <v>0.98626104377384838</v>
      </c>
      <c r="L65" s="5">
        <f t="shared" si="3"/>
        <v>112018381.814</v>
      </c>
      <c r="M65">
        <v>0</v>
      </c>
    </row>
    <row r="66" spans="1:13" x14ac:dyDescent="0.3">
      <c r="A66" s="2">
        <v>44347</v>
      </c>
      <c r="B66">
        <v>65</v>
      </c>
      <c r="C66">
        <v>113985851.617</v>
      </c>
      <c r="D66" s="4">
        <f t="shared" si="4"/>
        <v>115752131.86346152</v>
      </c>
      <c r="E66" s="4">
        <f t="shared" si="19"/>
        <v>115423290.63565382</v>
      </c>
      <c r="F66">
        <f t="shared" si="6"/>
        <v>0.98754636944816221</v>
      </c>
      <c r="G66">
        <v>1.0023766990273115</v>
      </c>
      <c r="H66" s="5">
        <f t="shared" si="0"/>
        <v>113715583.89935623</v>
      </c>
      <c r="I66">
        <f t="shared" si="1"/>
        <v>104886496.08692916</v>
      </c>
      <c r="J66" s="5">
        <f t="shared" si="7"/>
        <v>1.1004590194336539</v>
      </c>
      <c r="K66" s="6">
        <f t="shared" si="2"/>
        <v>0.98520483407730797</v>
      </c>
      <c r="L66" s="5">
        <f t="shared" si="3"/>
        <v>113985851.617</v>
      </c>
      <c r="M66">
        <v>0</v>
      </c>
    </row>
    <row r="67" spans="1:13" x14ac:dyDescent="0.3">
      <c r="A67" s="2">
        <v>44377</v>
      </c>
      <c r="B67">
        <v>66</v>
      </c>
      <c r="C67">
        <v>116625151.589</v>
      </c>
      <c r="D67" s="4">
        <f t="shared" si="4"/>
        <v>116274869.38484615</v>
      </c>
      <c r="E67" s="4">
        <f t="shared" si="19"/>
        <v>116013500.62415384</v>
      </c>
      <c r="F67">
        <f t="shared" si="6"/>
        <v>1.0052722395372562</v>
      </c>
      <c r="G67">
        <v>1.0003415092716361</v>
      </c>
      <c r="H67" s="5">
        <f t="shared" ref="H67:H70" si="20">C67/G67</f>
        <v>116585336.61560896</v>
      </c>
      <c r="I67">
        <f t="shared" ref="I67:I130" si="21">$P$4+$P$5*B67</f>
        <v>105357855.80383751</v>
      </c>
      <c r="J67" s="5">
        <f t="shared" si="7"/>
        <v>1.1011376393247385</v>
      </c>
      <c r="K67" s="6">
        <f t="shared" ref="K67:K121" si="22">C67/(G67*I67*J67)</f>
        <v>1.0049290469503862</v>
      </c>
      <c r="L67" s="5">
        <f t="shared" ref="L67:L121" si="23">G67*I67*J67*K67</f>
        <v>116625151.589</v>
      </c>
      <c r="M67">
        <v>0</v>
      </c>
    </row>
    <row r="68" spans="1:13" x14ac:dyDescent="0.3">
      <c r="A68" s="2">
        <v>44408</v>
      </c>
      <c r="B68">
        <v>67</v>
      </c>
      <c r="C68">
        <v>119730234.376</v>
      </c>
      <c r="D68" s="4">
        <f t="shared" si="4"/>
        <v>116751562.70392309</v>
      </c>
      <c r="E68" s="4">
        <f t="shared" si="19"/>
        <v>116513216.04438463</v>
      </c>
      <c r="F68">
        <f t="shared" si="6"/>
        <v>1.0276107590265973</v>
      </c>
      <c r="G68">
        <v>1.0040194025445719</v>
      </c>
      <c r="H68" s="5">
        <f t="shared" si="20"/>
        <v>119250916.93702081</v>
      </c>
      <c r="I68">
        <f t="shared" si="21"/>
        <v>105829215.52074584</v>
      </c>
      <c r="J68" s="5">
        <f t="shared" si="7"/>
        <v>1.100955114058692</v>
      </c>
      <c r="K68" s="6">
        <f t="shared" si="22"/>
        <v>1.0234969129304035</v>
      </c>
      <c r="L68" s="5">
        <f t="shared" si="23"/>
        <v>119730234.37600002</v>
      </c>
      <c r="M68">
        <v>0</v>
      </c>
    </row>
    <row r="69" spans="1:13" x14ac:dyDescent="0.3">
      <c r="A69" s="2">
        <v>44439</v>
      </c>
      <c r="B69">
        <v>68</v>
      </c>
      <c r="C69">
        <v>119607657.184</v>
      </c>
      <c r="D69" s="4">
        <f t="shared" si="4"/>
        <v>117360178.75630771</v>
      </c>
      <c r="E69" s="4">
        <f t="shared" si="19"/>
        <v>117055870.7301154</v>
      </c>
      <c r="F69">
        <f t="shared" si="6"/>
        <v>1.0217997306582598</v>
      </c>
      <c r="G69">
        <v>1.0023144048936681</v>
      </c>
      <c r="H69" s="5">
        <f t="shared" si="20"/>
        <v>119331475.83236495</v>
      </c>
      <c r="I69">
        <f t="shared" si="21"/>
        <v>106300575.23765419</v>
      </c>
      <c r="J69" s="5">
        <f t="shared" si="7"/>
        <v>1.101178149491814</v>
      </c>
      <c r="K69" s="6">
        <f t="shared" si="22"/>
        <v>1.0194403329628481</v>
      </c>
      <c r="L69" s="5">
        <f t="shared" si="23"/>
        <v>119607657.184</v>
      </c>
      <c r="M69">
        <v>0</v>
      </c>
    </row>
    <row r="70" spans="1:13" x14ac:dyDescent="0.3">
      <c r="A70" s="2">
        <v>44469</v>
      </c>
      <c r="B70">
        <v>69</v>
      </c>
      <c r="C70">
        <v>119423758.64300001</v>
      </c>
      <c r="D70" s="4">
        <f t="shared" si="4"/>
        <v>118015418.69130771</v>
      </c>
      <c r="E70" s="4">
        <f t="shared" si="19"/>
        <v>117687798.72380771</v>
      </c>
      <c r="F70">
        <f>C70/E70</f>
        <v>1.0147505513572082</v>
      </c>
      <c r="G70">
        <v>1.0006957364567286</v>
      </c>
      <c r="H70" s="5">
        <f t="shared" si="20"/>
        <v>119340728.94709894</v>
      </c>
      <c r="I70">
        <f t="shared" si="21"/>
        <v>106771934.95456254</v>
      </c>
      <c r="J70" s="5">
        <f t="shared" si="7"/>
        <v>1.1022353277936798</v>
      </c>
      <c r="K70" s="6">
        <f t="shared" si="22"/>
        <v>1.0140450432518529</v>
      </c>
      <c r="L70" s="5">
        <f t="shared" si="23"/>
        <v>119423758.64299999</v>
      </c>
      <c r="M70">
        <v>0</v>
      </c>
    </row>
    <row r="71" spans="1:13" x14ac:dyDescent="0.3">
      <c r="A71" s="2">
        <v>44500</v>
      </c>
      <c r="B71">
        <v>70</v>
      </c>
      <c r="C71">
        <v>118390781.256</v>
      </c>
      <c r="D71" s="4">
        <f>AVERAGE(C66:C78)</f>
        <v>118560538.51000001</v>
      </c>
      <c r="E71" s="4">
        <f t="shared" si="19"/>
        <v>118287978.60065386</v>
      </c>
      <c r="F71">
        <f t="shared" si="6"/>
        <v>1.0008690879374413</v>
      </c>
      <c r="G71">
        <v>1.0027899631053778</v>
      </c>
      <c r="H71" s="5">
        <f>C71/G71</f>
        <v>118061394.32167307</v>
      </c>
      <c r="I71">
        <f t="shared" si="21"/>
        <v>107243294.67147088</v>
      </c>
      <c r="J71" s="5">
        <f t="shared" si="7"/>
        <v>1.1029871747508062</v>
      </c>
      <c r="K71" s="6">
        <f t="shared" si="22"/>
        <v>0.99808446909262238</v>
      </c>
      <c r="L71" s="5">
        <f t="shared" si="23"/>
        <v>118390781.256</v>
      </c>
      <c r="M71">
        <v>0</v>
      </c>
    </row>
    <row r="72" spans="1:13" x14ac:dyDescent="0.3">
      <c r="A72" s="2">
        <v>44530</v>
      </c>
      <c r="B72">
        <v>71</v>
      </c>
      <c r="C72">
        <v>119019353.899</v>
      </c>
      <c r="D72" s="4">
        <f t="shared" si="4"/>
        <v>119262042.07669231</v>
      </c>
      <c r="E72" s="4">
        <f>AVERAGE(D71:D72)</f>
        <v>118911290.29334617</v>
      </c>
      <c r="F72">
        <f t="shared" si="6"/>
        <v>1.0009087749816461</v>
      </c>
      <c r="G72">
        <v>1.0039298869473017</v>
      </c>
      <c r="H72" s="5">
        <f t="shared" ref="H72:H78" si="24">C72/G72</f>
        <v>118553452.23450607</v>
      </c>
      <c r="I72">
        <f t="shared" si="21"/>
        <v>107714654.38837923</v>
      </c>
      <c r="J72" s="5">
        <f t="shared" si="7"/>
        <v>1.1039471924088993</v>
      </c>
      <c r="K72" s="6">
        <f t="shared" si="22"/>
        <v>0.99699071418738006</v>
      </c>
      <c r="L72" s="5">
        <f t="shared" si="23"/>
        <v>119019353.899</v>
      </c>
      <c r="M72">
        <v>0</v>
      </c>
    </row>
    <row r="73" spans="1:13" x14ac:dyDescent="0.3">
      <c r="A73" s="2">
        <v>44561</v>
      </c>
      <c r="B73">
        <v>72</v>
      </c>
      <c r="C73">
        <v>120871401.391</v>
      </c>
      <c r="D73" s="4">
        <f t="shared" ref="D73:D81" si="25">AVERAGE(C68:C80)</f>
        <v>119915354.29753846</v>
      </c>
      <c r="E73" s="4">
        <f t="shared" ref="E73:E79" si="26">AVERAGE(D72:D73)</f>
        <v>119588698.18711539</v>
      </c>
      <c r="F73">
        <f t="shared" ref="F73:F82" si="27">C73/E73</f>
        <v>1.010725956744488</v>
      </c>
      <c r="G73">
        <v>1.006828227018538</v>
      </c>
      <c r="H73" s="5">
        <f t="shared" si="24"/>
        <v>120051661.39305556</v>
      </c>
      <c r="I73">
        <f t="shared" si="21"/>
        <v>108186014.10528758</v>
      </c>
      <c r="J73" s="5">
        <f t="shared" ref="J73:J114" si="28">E73/I73</f>
        <v>1.1053988741163032</v>
      </c>
      <c r="K73" s="6">
        <f t="shared" si="22"/>
        <v>1.0038712956404607</v>
      </c>
      <c r="L73" s="5">
        <f t="shared" si="23"/>
        <v>120871401.39099999</v>
      </c>
      <c r="M73">
        <v>0</v>
      </c>
    </row>
    <row r="74" spans="1:13" x14ac:dyDescent="0.3">
      <c r="A74" s="2">
        <v>44592</v>
      </c>
      <c r="B74">
        <v>73</v>
      </c>
      <c r="C74">
        <v>118937788.976</v>
      </c>
      <c r="D74" s="4">
        <f t="shared" si="25"/>
        <v>120205495.65092309</v>
      </c>
      <c r="E74" s="4">
        <f t="shared" si="26"/>
        <v>120060424.97423077</v>
      </c>
      <c r="F74">
        <f t="shared" si="27"/>
        <v>0.99064940842520155</v>
      </c>
      <c r="G74">
        <v>0.9903476639815243</v>
      </c>
      <c r="H74" s="5">
        <f t="shared" si="24"/>
        <v>120097005.62914528</v>
      </c>
      <c r="I74">
        <f t="shared" si="21"/>
        <v>108657373.82219592</v>
      </c>
      <c r="J74" s="5">
        <f t="shared" si="28"/>
        <v>1.1049450281275388</v>
      </c>
      <c r="K74" s="6">
        <f t="shared" si="22"/>
        <v>1.000304685369241</v>
      </c>
      <c r="L74" s="5">
        <f t="shared" si="23"/>
        <v>118937788.976</v>
      </c>
      <c r="M74">
        <v>0</v>
      </c>
    </row>
    <row r="75" spans="1:13" x14ac:dyDescent="0.3">
      <c r="A75" s="2">
        <v>44620</v>
      </c>
      <c r="B75">
        <v>74</v>
      </c>
      <c r="C75">
        <v>117437241.743</v>
      </c>
      <c r="D75" s="4">
        <f t="shared" si="25"/>
        <v>120517479.83907692</v>
      </c>
      <c r="E75" s="4">
        <f t="shared" si="26"/>
        <v>120361487.745</v>
      </c>
      <c r="F75">
        <f t="shared" si="27"/>
        <v>0.97570447111624803</v>
      </c>
      <c r="G75">
        <v>0.984824610654224</v>
      </c>
      <c r="H75" s="5">
        <f t="shared" si="24"/>
        <v>119246859.26053965</v>
      </c>
      <c r="I75">
        <f t="shared" si="21"/>
        <v>109128733.53910425</v>
      </c>
      <c r="J75" s="5">
        <f t="shared" si="28"/>
        <v>1.1029312248168874</v>
      </c>
      <c r="K75" s="6">
        <f t="shared" si="22"/>
        <v>0.99073932613044935</v>
      </c>
      <c r="L75" s="5">
        <f t="shared" si="23"/>
        <v>117437241.743</v>
      </c>
      <c r="M75">
        <v>0</v>
      </c>
    </row>
    <row r="76" spans="1:13" x14ac:dyDescent="0.3">
      <c r="A76" s="2">
        <v>44651</v>
      </c>
      <c r="B76">
        <v>75</v>
      </c>
      <c r="C76">
        <v>118662966.723</v>
      </c>
      <c r="D76" s="4">
        <f t="shared" si="25"/>
        <v>120867064.82230772</v>
      </c>
      <c r="E76" s="4">
        <f t="shared" si="26"/>
        <v>120692272.33069232</v>
      </c>
      <c r="F76">
        <f t="shared" si="27"/>
        <v>0.98318611814572443</v>
      </c>
      <c r="G76">
        <v>0.9823125470139884</v>
      </c>
      <c r="H76" s="5">
        <f t="shared" si="24"/>
        <v>120799604.04018968</v>
      </c>
      <c r="I76">
        <f t="shared" si="21"/>
        <v>109600093.2560126</v>
      </c>
      <c r="J76" s="5">
        <f t="shared" si="28"/>
        <v>1.1012059273414094</v>
      </c>
      <c r="K76" s="6">
        <f t="shared" si="22"/>
        <v>1.0008893005941861</v>
      </c>
      <c r="L76" s="5">
        <f t="shared" si="23"/>
        <v>118662966.723</v>
      </c>
      <c r="M76">
        <v>0</v>
      </c>
    </row>
    <row r="77" spans="1:13" x14ac:dyDescent="0.3">
      <c r="A77" s="2">
        <v>44681</v>
      </c>
      <c r="B77">
        <v>76</v>
      </c>
      <c r="C77">
        <v>119489873.77599999</v>
      </c>
      <c r="D77" s="4">
        <f t="shared" si="25"/>
        <v>121160253.58715388</v>
      </c>
      <c r="E77" s="4">
        <f t="shared" si="26"/>
        <v>121013659.20473081</v>
      </c>
      <c r="F77">
        <f t="shared" si="27"/>
        <v>0.98740815343701926</v>
      </c>
      <c r="G77">
        <v>0.98912096118084081</v>
      </c>
      <c r="H77" s="5">
        <f t="shared" si="24"/>
        <v>120804106.33836894</v>
      </c>
      <c r="I77">
        <f t="shared" si="21"/>
        <v>110071452.97292095</v>
      </c>
      <c r="J77" s="5">
        <f t="shared" si="28"/>
        <v>1.0994100280887704</v>
      </c>
      <c r="K77" s="6">
        <f t="shared" si="22"/>
        <v>0.99826835360785737</v>
      </c>
      <c r="L77" s="5">
        <f t="shared" si="23"/>
        <v>119489873.77599999</v>
      </c>
      <c r="M77">
        <v>0</v>
      </c>
    </row>
    <row r="78" spans="1:13" x14ac:dyDescent="0.3">
      <c r="A78" s="2">
        <v>44712</v>
      </c>
      <c r="B78">
        <v>77</v>
      </c>
      <c r="C78">
        <v>119104939.457</v>
      </c>
      <c r="D78" s="4">
        <f t="shared" si="25"/>
        <v>121342400.02700002</v>
      </c>
      <c r="E78" s="4">
        <f t="shared" si="26"/>
        <v>121251326.80707696</v>
      </c>
      <c r="F78">
        <f t="shared" si="27"/>
        <v>0.98229802999605875</v>
      </c>
      <c r="G78">
        <v>1.0023766990273115</v>
      </c>
      <c r="H78" s="5">
        <f t="shared" si="24"/>
        <v>118822534.05588669</v>
      </c>
      <c r="I78">
        <f t="shared" si="21"/>
        <v>110542812.68982929</v>
      </c>
      <c r="J78" s="5">
        <f t="shared" si="28"/>
        <v>1.0968720973953734</v>
      </c>
      <c r="K78" s="6">
        <f t="shared" si="22"/>
        <v>0.9799689387724827</v>
      </c>
      <c r="L78" s="5">
        <f t="shared" si="23"/>
        <v>119104939.457</v>
      </c>
      <c r="M78">
        <v>0</v>
      </c>
    </row>
    <row r="79" spans="1:13" x14ac:dyDescent="0.3">
      <c r="A79" s="2">
        <v>44742</v>
      </c>
      <c r="B79">
        <v>78</v>
      </c>
      <c r="C79">
        <v>123105397.984</v>
      </c>
      <c r="D79" s="4">
        <f t="shared" si="25"/>
        <v>121322834.34492308</v>
      </c>
      <c r="E79" s="4">
        <f t="shared" si="26"/>
        <v>121332617.18596154</v>
      </c>
      <c r="F79">
        <f t="shared" si="27"/>
        <v>1.0146109169912769</v>
      </c>
      <c r="G79">
        <v>1.0003415092716361</v>
      </c>
      <c r="H79" s="5">
        <f>C79/G79</f>
        <v>123063370.7019065</v>
      </c>
      <c r="I79">
        <f t="shared" si="21"/>
        <v>111014172.40673764</v>
      </c>
      <c r="J79" s="5">
        <f t="shared" si="28"/>
        <v>1.0929470945513049</v>
      </c>
      <c r="K79" s="6">
        <f t="shared" si="22"/>
        <v>1.0142645362482565</v>
      </c>
      <c r="L79" s="5">
        <f t="shared" si="23"/>
        <v>123105397.98400001</v>
      </c>
      <c r="M79">
        <v>0</v>
      </c>
    </row>
    <row r="80" spans="1:13" x14ac:dyDescent="0.3">
      <c r="A80" s="2">
        <v>44773</v>
      </c>
      <c r="B80">
        <v>79</v>
      </c>
      <c r="C80">
        <v>125118210.45999999</v>
      </c>
      <c r="D80" s="4">
        <f t="shared" si="25"/>
        <v>121302348.60292308</v>
      </c>
      <c r="E80" s="4">
        <f>AVERAGE(D79:D80)</f>
        <v>121312591.47392309</v>
      </c>
      <c r="F80">
        <f t="shared" si="27"/>
        <v>1.0313703543864607</v>
      </c>
      <c r="G80">
        <v>1.0040194025445719</v>
      </c>
      <c r="H80" s="5">
        <f t="shared" ref="H80:H121" si="29">C80/G80</f>
        <v>124617323.27373581</v>
      </c>
      <c r="I80">
        <f t="shared" si="21"/>
        <v>111485532.12364599</v>
      </c>
      <c r="J80" s="5">
        <f t="shared" si="28"/>
        <v>1.0881464990396972</v>
      </c>
      <c r="K80" s="6">
        <f t="shared" si="22"/>
        <v>1.0272414574584625</v>
      </c>
      <c r="L80" s="5">
        <f t="shared" si="23"/>
        <v>125118210.45999998</v>
      </c>
      <c r="M80">
        <v>0</v>
      </c>
    </row>
    <row r="81" spans="1:13" x14ac:dyDescent="0.3">
      <c r="A81" s="2">
        <v>44804</v>
      </c>
      <c r="B81">
        <v>80</v>
      </c>
      <c r="C81">
        <v>123502071.97</v>
      </c>
      <c r="D81" s="4">
        <f t="shared" si="25"/>
        <v>121295714.60984614</v>
      </c>
      <c r="E81" s="4">
        <f t="shared" ref="E81:E90" si="30">AVERAGE(D80:D81)</f>
        <v>121299031.60638461</v>
      </c>
      <c r="F81">
        <f t="shared" si="27"/>
        <v>1.0181620606070809</v>
      </c>
      <c r="G81">
        <v>1.0023144048936681</v>
      </c>
      <c r="H81" s="5">
        <f t="shared" si="29"/>
        <v>123216898.17787452</v>
      </c>
      <c r="I81">
        <f t="shared" si="21"/>
        <v>111956891.84055433</v>
      </c>
      <c r="J81" s="5">
        <f t="shared" si="28"/>
        <v>1.0834440793438163</v>
      </c>
      <c r="K81" s="6">
        <f t="shared" si="22"/>
        <v>1.0158110625129591</v>
      </c>
      <c r="L81" s="5">
        <f t="shared" si="23"/>
        <v>123502071.97000001</v>
      </c>
      <c r="M81">
        <v>0</v>
      </c>
    </row>
    <row r="82" spans="1:13" x14ac:dyDescent="0.3">
      <c r="A82" s="2">
        <v>44834</v>
      </c>
      <c r="B82">
        <v>81</v>
      </c>
      <c r="C82">
        <v>123663451.63</v>
      </c>
      <c r="D82" s="4">
        <f>AVERAGE(C77:C89)</f>
        <v>121191018.9427692</v>
      </c>
      <c r="E82" s="4">
        <f t="shared" si="30"/>
        <v>121243366.77630767</v>
      </c>
      <c r="F82">
        <f t="shared" si="27"/>
        <v>1.0199605546929207</v>
      </c>
      <c r="G82">
        <v>1.0006957364567286</v>
      </c>
      <c r="H82" s="5">
        <f t="shared" si="29"/>
        <v>123577474.2759158</v>
      </c>
      <c r="I82">
        <f t="shared" si="21"/>
        <v>112428251.55746266</v>
      </c>
      <c r="J82" s="5">
        <f t="shared" si="28"/>
        <v>1.078406584614896</v>
      </c>
      <c r="K82" s="6">
        <f t="shared" si="22"/>
        <v>1.0192514243184498</v>
      </c>
      <c r="L82" s="5">
        <f t="shared" si="23"/>
        <v>123663451.63</v>
      </c>
      <c r="M82">
        <v>0</v>
      </c>
    </row>
    <row r="83" spans="1:13" x14ac:dyDescent="0.3">
      <c r="A83" s="2">
        <v>44865</v>
      </c>
      <c r="B83">
        <v>82</v>
      </c>
      <c r="C83">
        <v>123968363.425</v>
      </c>
      <c r="D83" s="4">
        <f t="shared" ref="D83:D94" si="31">AVERAGE(C78:C90)</f>
        <v>120970970.61838458</v>
      </c>
      <c r="E83" s="4">
        <f t="shared" si="30"/>
        <v>121080994.78057688</v>
      </c>
      <c r="F83">
        <f>C83/E83</f>
        <v>1.0238465883903218</v>
      </c>
      <c r="G83">
        <v>1.0027899631053778</v>
      </c>
      <c r="H83" s="5">
        <f t="shared" si="29"/>
        <v>123623458.53672333</v>
      </c>
      <c r="I83">
        <f t="shared" si="21"/>
        <v>112899611.27437101</v>
      </c>
      <c r="J83" s="5">
        <f t="shared" si="28"/>
        <v>1.0724660024410828</v>
      </c>
      <c r="K83" s="6">
        <f t="shared" si="22"/>
        <v>1.0209980415238074</v>
      </c>
      <c r="L83" s="5">
        <f t="shared" si="23"/>
        <v>123968363.42500001</v>
      </c>
      <c r="M83">
        <v>0</v>
      </c>
    </row>
    <row r="84" spans="1:13" x14ac:dyDescent="0.3">
      <c r="A84" s="2">
        <v>44895</v>
      </c>
      <c r="B84">
        <v>83</v>
      </c>
      <c r="C84">
        <v>122202235.199</v>
      </c>
      <c r="D84" s="4">
        <f t="shared" si="31"/>
        <v>120686138.22653843</v>
      </c>
      <c r="E84" s="4">
        <f t="shared" si="30"/>
        <v>120828554.42246151</v>
      </c>
      <c r="F84">
        <f>C84/E84</f>
        <v>1.0113688422666682</v>
      </c>
      <c r="G84">
        <v>1.0039298869473017</v>
      </c>
      <c r="H84" s="5">
        <f t="shared" si="29"/>
        <v>121723874.13486241</v>
      </c>
      <c r="I84">
        <f t="shared" si="21"/>
        <v>113370970.99127936</v>
      </c>
      <c r="J84" s="5">
        <f t="shared" si="28"/>
        <v>1.0657803612862748</v>
      </c>
      <c r="K84" s="6">
        <f t="shared" si="22"/>
        <v>1.0074098355035395</v>
      </c>
      <c r="L84" s="5">
        <f t="shared" si="23"/>
        <v>122202235.199</v>
      </c>
      <c r="M84">
        <v>0</v>
      </c>
    </row>
    <row r="85" spans="1:13" x14ac:dyDescent="0.3">
      <c r="A85" s="2">
        <v>44926</v>
      </c>
      <c r="B85">
        <v>84</v>
      </c>
      <c r="C85">
        <v>121387257.617</v>
      </c>
      <c r="D85" s="4">
        <f t="shared" si="31"/>
        <v>120159976.41853847</v>
      </c>
      <c r="E85" s="4">
        <f t="shared" si="30"/>
        <v>120423057.32253845</v>
      </c>
      <c r="F85">
        <f t="shared" ref="F85:F95" si="32">C85/E85</f>
        <v>1.0080067747481203</v>
      </c>
      <c r="G85">
        <v>1.006828227018538</v>
      </c>
      <c r="H85" s="5">
        <f t="shared" si="29"/>
        <v>120564019.12415293</v>
      </c>
      <c r="I85">
        <f t="shared" si="21"/>
        <v>113842330.7081877</v>
      </c>
      <c r="J85" s="5">
        <f t="shared" si="28"/>
        <v>1.0578056209268865</v>
      </c>
      <c r="K85" s="6">
        <f t="shared" si="22"/>
        <v>1.0011705549148859</v>
      </c>
      <c r="L85" s="5">
        <f t="shared" si="23"/>
        <v>121387257.617</v>
      </c>
      <c r="M85">
        <v>0</v>
      </c>
    </row>
    <row r="86" spans="1:13" x14ac:dyDescent="0.3">
      <c r="A86" s="2">
        <v>44957</v>
      </c>
      <c r="B86">
        <v>85</v>
      </c>
      <c r="C86">
        <v>120617047.524</v>
      </c>
      <c r="D86" s="4">
        <f t="shared" si="31"/>
        <v>119458577.31299999</v>
      </c>
      <c r="E86" s="4">
        <f t="shared" si="30"/>
        <v>119809276.86576924</v>
      </c>
      <c r="F86">
        <f t="shared" si="32"/>
        <v>1.0067421378324131</v>
      </c>
      <c r="G86">
        <v>0.9903476639815243</v>
      </c>
      <c r="H86" s="5">
        <f t="shared" si="29"/>
        <v>121792630.92223562</v>
      </c>
      <c r="I86">
        <f t="shared" si="21"/>
        <v>114313690.42509605</v>
      </c>
      <c r="J86" s="5">
        <f t="shared" si="28"/>
        <v>1.0480746131127152</v>
      </c>
      <c r="K86" s="6">
        <f t="shared" si="22"/>
        <v>1.0165542611419687</v>
      </c>
      <c r="L86" s="5">
        <f t="shared" si="23"/>
        <v>120617047.524</v>
      </c>
      <c r="M86">
        <v>0</v>
      </c>
    </row>
    <row r="87" spans="1:13" x14ac:dyDescent="0.3">
      <c r="A87" s="2">
        <v>44985</v>
      </c>
      <c r="B87">
        <v>86</v>
      </c>
      <c r="C87">
        <v>118671474.33</v>
      </c>
      <c r="D87" s="4">
        <f t="shared" si="31"/>
        <v>118970099.06207691</v>
      </c>
      <c r="E87" s="4">
        <f t="shared" si="30"/>
        <v>119214338.18753844</v>
      </c>
      <c r="F87">
        <f t="shared" si="32"/>
        <v>0.9954463207547698</v>
      </c>
      <c r="G87">
        <v>0.984824610654224</v>
      </c>
      <c r="H87" s="5">
        <f t="shared" si="29"/>
        <v>120500110.42186074</v>
      </c>
      <c r="I87">
        <f t="shared" si="21"/>
        <v>114785050.1420044</v>
      </c>
      <c r="J87" s="5">
        <f t="shared" si="28"/>
        <v>1.0385876735694624</v>
      </c>
      <c r="K87" s="6">
        <f t="shared" si="22"/>
        <v>1.0107853824789064</v>
      </c>
      <c r="L87" s="5">
        <f t="shared" si="23"/>
        <v>118671474.32999998</v>
      </c>
      <c r="M87">
        <v>0</v>
      </c>
    </row>
    <row r="88" spans="1:13" x14ac:dyDescent="0.3">
      <c r="A88" s="2">
        <v>45016</v>
      </c>
      <c r="B88">
        <v>87</v>
      </c>
      <c r="C88">
        <v>117350999.833</v>
      </c>
      <c r="D88" s="4">
        <f t="shared" si="31"/>
        <v>118479055.90053846</v>
      </c>
      <c r="E88" s="4">
        <f t="shared" si="30"/>
        <v>118724577.48130769</v>
      </c>
      <c r="F88">
        <f t="shared" si="32"/>
        <v>0.98843055349239761</v>
      </c>
      <c r="G88">
        <v>0.9823125470139884</v>
      </c>
      <c r="H88" s="5">
        <f t="shared" si="29"/>
        <v>119464013.96349964</v>
      </c>
      <c r="I88">
        <f t="shared" si="21"/>
        <v>115256409.85891274</v>
      </c>
      <c r="J88" s="5">
        <f t="shared" si="28"/>
        <v>1.0300908871501411</v>
      </c>
      <c r="K88" s="6">
        <f t="shared" si="22"/>
        <v>1.0062281668874196</v>
      </c>
      <c r="L88" s="5">
        <f t="shared" si="23"/>
        <v>117350999.83300002</v>
      </c>
      <c r="M88">
        <v>0</v>
      </c>
    </row>
    <row r="89" spans="1:13" x14ac:dyDescent="0.3">
      <c r="A89" s="2">
        <v>45046</v>
      </c>
      <c r="B89">
        <v>88</v>
      </c>
      <c r="C89">
        <v>117301923.051</v>
      </c>
      <c r="D89" s="4">
        <f t="shared" si="31"/>
        <v>117935067.12723078</v>
      </c>
      <c r="E89" s="4">
        <f t="shared" si="30"/>
        <v>118207061.51388462</v>
      </c>
      <c r="F89">
        <f t="shared" si="32"/>
        <v>0.99234277164754403</v>
      </c>
      <c r="G89">
        <v>0.98912096118084081</v>
      </c>
      <c r="H89" s="5">
        <f t="shared" si="29"/>
        <v>118592091.01277322</v>
      </c>
      <c r="I89">
        <f t="shared" si="21"/>
        <v>115727769.57582107</v>
      </c>
      <c r="J89" s="5">
        <f t="shared" si="28"/>
        <v>1.021423483293171</v>
      </c>
      <c r="K89" s="6">
        <f t="shared" si="22"/>
        <v>1.0032572461742766</v>
      </c>
      <c r="L89" s="5">
        <f t="shared" si="23"/>
        <v>117301923.05099998</v>
      </c>
      <c r="M89">
        <v>0</v>
      </c>
    </row>
    <row r="90" spans="1:13" x14ac:dyDescent="0.3">
      <c r="A90" s="2">
        <v>45077</v>
      </c>
      <c r="B90">
        <v>89</v>
      </c>
      <c r="C90">
        <v>116629245.559</v>
      </c>
      <c r="D90" s="4">
        <f t="shared" si="31"/>
        <v>117569849.9433077</v>
      </c>
      <c r="E90" s="4">
        <f t="shared" si="30"/>
        <v>117752458.53526923</v>
      </c>
      <c r="F90">
        <f t="shared" si="32"/>
        <v>0.99046123545749321</v>
      </c>
      <c r="G90">
        <v>1.0023766990273115</v>
      </c>
      <c r="H90" s="5">
        <f t="shared" si="29"/>
        <v>116352710.18587618</v>
      </c>
      <c r="I90">
        <f t="shared" si="21"/>
        <v>116199129.29272942</v>
      </c>
      <c r="J90" s="5">
        <f t="shared" si="28"/>
        <v>1.0133678217039532</v>
      </c>
      <c r="K90" s="6">
        <f t="shared" si="22"/>
        <v>0.98811278875358843</v>
      </c>
      <c r="L90" s="5">
        <f t="shared" si="23"/>
        <v>116629245.559</v>
      </c>
      <c r="M90">
        <v>0</v>
      </c>
    </row>
    <row r="91" spans="1:13" x14ac:dyDescent="0.3">
      <c r="A91" s="2">
        <v>45107</v>
      </c>
      <c r="B91">
        <v>90</v>
      </c>
      <c r="C91">
        <v>115402118.36300001</v>
      </c>
      <c r="D91" s="4">
        <f t="shared" si="31"/>
        <v>117119296.29715386</v>
      </c>
      <c r="E91" s="4">
        <f>AVERAGE(D90:D91)</f>
        <v>117344573.12023078</v>
      </c>
      <c r="F91">
        <f t="shared" si="32"/>
        <v>0.98344657357745435</v>
      </c>
      <c r="G91">
        <v>1.0003415092716361</v>
      </c>
      <c r="H91" s="5">
        <f t="shared" si="29"/>
        <v>115362720.92420322</v>
      </c>
      <c r="I91">
        <f t="shared" si="21"/>
        <v>116670489.00963777</v>
      </c>
      <c r="J91" s="5">
        <f t="shared" si="28"/>
        <v>1.005777674511481</v>
      </c>
      <c r="K91" s="6">
        <f t="shared" si="22"/>
        <v>0.98311083211324168</v>
      </c>
      <c r="L91" s="5">
        <f t="shared" si="23"/>
        <v>115402118.36300001</v>
      </c>
      <c r="M91">
        <v>0</v>
      </c>
    </row>
    <row r="92" spans="1:13" x14ac:dyDescent="0.3">
      <c r="A92" s="2">
        <v>45138</v>
      </c>
      <c r="B92">
        <v>91</v>
      </c>
      <c r="C92">
        <v>116265294.48</v>
      </c>
      <c r="D92" s="4">
        <f t="shared" si="31"/>
        <v>116673871.20861538</v>
      </c>
      <c r="E92" s="4">
        <f>AVERAGE(D91:D92)</f>
        <v>116896583.75288463</v>
      </c>
      <c r="F92">
        <f t="shared" si="32"/>
        <v>0.9945995917706274</v>
      </c>
      <c r="G92">
        <v>1.0040194025445719</v>
      </c>
      <c r="H92" s="5">
        <f t="shared" si="29"/>
        <v>115799848.2751817</v>
      </c>
      <c r="I92">
        <f t="shared" si="21"/>
        <v>117141848.72654611</v>
      </c>
      <c r="J92" s="5">
        <f t="shared" si="28"/>
        <v>0.99790625659123733</v>
      </c>
      <c r="K92" s="6">
        <f t="shared" si="22"/>
        <v>0.99061789966401936</v>
      </c>
      <c r="L92" s="5">
        <f t="shared" si="23"/>
        <v>116265294.48</v>
      </c>
      <c r="M92">
        <v>0</v>
      </c>
    </row>
    <row r="93" spans="1:13" x14ac:dyDescent="0.3">
      <c r="A93" s="2">
        <v>45169</v>
      </c>
      <c r="B93">
        <v>92</v>
      </c>
      <c r="C93">
        <v>116000022.088</v>
      </c>
      <c r="D93" s="4">
        <f t="shared" si="31"/>
        <v>116265556.41523077</v>
      </c>
      <c r="E93" s="4">
        <f t="shared" ref="E93:E100" si="33">AVERAGE(D92:D93)</f>
        <v>116469713.81192307</v>
      </c>
      <c r="F93">
        <f t="shared" si="32"/>
        <v>0.99596726300296801</v>
      </c>
      <c r="G93">
        <v>1.0023144048936681</v>
      </c>
      <c r="H93" s="5">
        <f t="shared" si="29"/>
        <v>115732170.98511721</v>
      </c>
      <c r="I93">
        <f t="shared" si="21"/>
        <v>117613208.44345446</v>
      </c>
      <c r="J93" s="5">
        <f t="shared" si="28"/>
        <v>0.99027749819374111</v>
      </c>
      <c r="K93" s="6">
        <f t="shared" si="22"/>
        <v>0.99366751404578146</v>
      </c>
      <c r="L93" s="5">
        <f t="shared" si="23"/>
        <v>116000022.088</v>
      </c>
      <c r="M93">
        <v>0</v>
      </c>
    </row>
    <row r="94" spans="1:13" x14ac:dyDescent="0.3">
      <c r="A94" s="2">
        <v>45199</v>
      </c>
      <c r="B94">
        <v>93</v>
      </c>
      <c r="C94">
        <v>117151854.708</v>
      </c>
      <c r="D94" s="4">
        <f t="shared" si="31"/>
        <v>116257147.17599998</v>
      </c>
      <c r="E94" s="4">
        <f t="shared" si="33"/>
        <v>116261351.79561538</v>
      </c>
      <c r="F94">
        <f t="shared" si="32"/>
        <v>1.0076594921582376</v>
      </c>
      <c r="G94">
        <v>1.0006957364567286</v>
      </c>
      <c r="H94" s="5">
        <f t="shared" si="29"/>
        <v>117070404.55954397</v>
      </c>
      <c r="I94">
        <f t="shared" si="21"/>
        <v>118084568.16036281</v>
      </c>
      <c r="J94" s="5">
        <f t="shared" si="28"/>
        <v>0.98456007932999812</v>
      </c>
      <c r="K94" s="6">
        <f t="shared" si="22"/>
        <v>1.0069589141312487</v>
      </c>
      <c r="L94" s="5">
        <f t="shared" si="23"/>
        <v>117151854.708</v>
      </c>
      <c r="M94">
        <v>0</v>
      </c>
    </row>
    <row r="95" spans="1:13" x14ac:dyDescent="0.3">
      <c r="A95" s="2">
        <v>45230</v>
      </c>
      <c r="B95">
        <v>94</v>
      </c>
      <c r="C95">
        <v>117279890.53</v>
      </c>
      <c r="D95" s="4">
        <f>AVERAGE(C90:C102)</f>
        <v>116335605.87576923</v>
      </c>
      <c r="E95" s="4">
        <f t="shared" si="33"/>
        <v>116296376.5258846</v>
      </c>
      <c r="F95">
        <f t="shared" si="32"/>
        <v>1.0084569617170875</v>
      </c>
      <c r="G95">
        <v>1.0027899631053778</v>
      </c>
      <c r="H95" s="5">
        <f t="shared" si="29"/>
        <v>116953594.31681477</v>
      </c>
      <c r="I95">
        <f t="shared" si="21"/>
        <v>118555927.87727115</v>
      </c>
      <c r="J95" s="5">
        <f t="shared" si="28"/>
        <v>0.98094105126716535</v>
      </c>
      <c r="K95" s="6">
        <f t="shared" si="22"/>
        <v>1.0056512318832556</v>
      </c>
      <c r="L95" s="5">
        <f t="shared" si="23"/>
        <v>117279890.53</v>
      </c>
      <c r="M95">
        <v>0</v>
      </c>
    </row>
    <row r="96" spans="1:13" x14ac:dyDescent="0.3">
      <c r="A96" s="2">
        <v>45260</v>
      </c>
      <c r="B96">
        <v>95</v>
      </c>
      <c r="C96">
        <v>116896509.37199999</v>
      </c>
      <c r="D96" s="4">
        <f t="shared" ref="D96:D106" si="34">AVERAGE(C91:C103)</f>
        <v>116529269.0106923</v>
      </c>
      <c r="E96" s="4">
        <f t="shared" si="33"/>
        <v>116432437.44323076</v>
      </c>
      <c r="F96">
        <f>C96/E96</f>
        <v>1.0039857615193832</v>
      </c>
      <c r="G96">
        <v>1.0039298869473017</v>
      </c>
      <c r="H96" s="5">
        <f t="shared" si="29"/>
        <v>116438917.58960666</v>
      </c>
      <c r="I96">
        <f t="shared" si="21"/>
        <v>119027287.59417948</v>
      </c>
      <c r="J96" s="5">
        <f t="shared" si="28"/>
        <v>0.97819953555695738</v>
      </c>
      <c r="K96" s="6">
        <f t="shared" si="22"/>
        <v>1.0000556558508797</v>
      </c>
      <c r="L96" s="5">
        <f t="shared" si="23"/>
        <v>116896509.37199999</v>
      </c>
      <c r="M96">
        <v>0</v>
      </c>
    </row>
    <row r="97" spans="1:13" x14ac:dyDescent="0.3">
      <c r="A97" s="2">
        <v>45291</v>
      </c>
      <c r="B97">
        <v>96</v>
      </c>
      <c r="C97">
        <v>117454411.808</v>
      </c>
      <c r="D97" s="4">
        <f t="shared" si="34"/>
        <v>116613955.89261539</v>
      </c>
      <c r="E97" s="4">
        <f t="shared" si="33"/>
        <v>116571612.45165384</v>
      </c>
      <c r="F97">
        <f t="shared" ref="F97:F108" si="35">C97/E97</f>
        <v>1.007573021748432</v>
      </c>
      <c r="G97">
        <v>1.006828227018538</v>
      </c>
      <c r="H97" s="5">
        <f t="shared" si="29"/>
        <v>116657845.55505653</v>
      </c>
      <c r="I97">
        <f t="shared" si="21"/>
        <v>119498647.31108783</v>
      </c>
      <c r="J97" s="5">
        <f t="shared" si="28"/>
        <v>0.97550570717495977</v>
      </c>
      <c r="K97" s="6">
        <f t="shared" si="22"/>
        <v>1.0007397435927075</v>
      </c>
      <c r="L97" s="5">
        <f t="shared" si="23"/>
        <v>117454411.80800001</v>
      </c>
      <c r="M97">
        <v>0</v>
      </c>
    </row>
    <row r="98" spans="1:13" x14ac:dyDescent="0.3">
      <c r="A98" s="2">
        <v>45322</v>
      </c>
      <c r="B98">
        <v>97</v>
      </c>
      <c r="C98">
        <v>115530060.21699999</v>
      </c>
      <c r="D98" s="4">
        <f t="shared" si="34"/>
        <v>116605494.0383077</v>
      </c>
      <c r="E98" s="4">
        <f t="shared" si="33"/>
        <v>116609724.96546155</v>
      </c>
      <c r="F98">
        <f t="shared" si="35"/>
        <v>0.9907412117747354</v>
      </c>
      <c r="G98">
        <v>0.9903476639815243</v>
      </c>
      <c r="H98" s="5">
        <f t="shared" si="29"/>
        <v>116656063.74283859</v>
      </c>
      <c r="I98">
        <f t="shared" si="21"/>
        <v>119970007.02799618</v>
      </c>
      <c r="J98" s="5">
        <f t="shared" si="28"/>
        <v>0.97199064878148689</v>
      </c>
      <c r="K98" s="6">
        <f t="shared" si="22"/>
        <v>1.0003973834720112</v>
      </c>
      <c r="L98" s="5">
        <f t="shared" si="23"/>
        <v>115530060.21699999</v>
      </c>
      <c r="M98">
        <v>0</v>
      </c>
    </row>
    <row r="99" spans="1:13" x14ac:dyDescent="0.3">
      <c r="A99" s="2">
        <v>45351</v>
      </c>
      <c r="B99">
        <v>98</v>
      </c>
      <c r="C99">
        <v>114826521.373</v>
      </c>
      <c r="D99" s="4">
        <f t="shared" si="34"/>
        <v>116609065.55338463</v>
      </c>
      <c r="E99" s="4">
        <f t="shared" si="33"/>
        <v>116607279.79584616</v>
      </c>
      <c r="F99">
        <f t="shared" si="35"/>
        <v>0.98472858276118025</v>
      </c>
      <c r="G99">
        <v>0.984824610654224</v>
      </c>
      <c r="H99" s="5">
        <f t="shared" si="29"/>
        <v>116595909.69880429</v>
      </c>
      <c r="I99">
        <f t="shared" si="21"/>
        <v>120441366.74490452</v>
      </c>
      <c r="J99" s="5">
        <f t="shared" si="28"/>
        <v>0.96816636133680734</v>
      </c>
      <c r="K99" s="6">
        <f t="shared" si="22"/>
        <v>0.99990249239102591</v>
      </c>
      <c r="L99" s="5">
        <f t="shared" si="23"/>
        <v>114826521.373</v>
      </c>
      <c r="M99">
        <v>0</v>
      </c>
    </row>
    <row r="100" spans="1:13" x14ac:dyDescent="0.3">
      <c r="A100" s="2">
        <v>45382</v>
      </c>
      <c r="B100">
        <v>99</v>
      </c>
      <c r="C100">
        <v>113363382.016</v>
      </c>
      <c r="D100" s="4">
        <f t="shared" si="34"/>
        <v>116584822.59538461</v>
      </c>
      <c r="E100" s="4">
        <f t="shared" si="33"/>
        <v>116596944.07438463</v>
      </c>
      <c r="F100">
        <f t="shared" si="35"/>
        <v>0.972267180035853</v>
      </c>
      <c r="G100">
        <v>0.9823125470139884</v>
      </c>
      <c r="H100" s="5">
        <f t="shared" si="29"/>
        <v>115404595.37099415</v>
      </c>
      <c r="I100">
        <f t="shared" si="21"/>
        <v>120912726.46181287</v>
      </c>
      <c r="J100" s="5">
        <f t="shared" si="28"/>
        <v>0.96430663244707115</v>
      </c>
      <c r="K100" s="6">
        <f t="shared" si="22"/>
        <v>0.98977375682650992</v>
      </c>
      <c r="L100" s="5">
        <f t="shared" si="23"/>
        <v>113363382.016</v>
      </c>
      <c r="M100">
        <v>0</v>
      </c>
    </row>
    <row r="101" spans="1:13" x14ac:dyDescent="0.3">
      <c r="A101" s="2">
        <v>45412</v>
      </c>
      <c r="B101">
        <v>100</v>
      </c>
      <c r="C101">
        <v>117241679.723</v>
      </c>
      <c r="D101" s="4">
        <f t="shared" si="34"/>
        <v>116668066.06907691</v>
      </c>
      <c r="E101" s="4">
        <f>AVERAGE(D100:D101)</f>
        <v>116626444.33223076</v>
      </c>
      <c r="F101">
        <f t="shared" si="35"/>
        <v>1.00527526492205</v>
      </c>
      <c r="G101">
        <v>0.98912096118084081</v>
      </c>
      <c r="H101" s="5">
        <f t="shared" si="29"/>
        <v>118531185.08684069</v>
      </c>
      <c r="I101">
        <f t="shared" si="21"/>
        <v>121384086.17872122</v>
      </c>
      <c r="J101" s="5">
        <f t="shared" si="28"/>
        <v>0.96080506105647578</v>
      </c>
      <c r="K101" s="6">
        <f t="shared" si="22"/>
        <v>1.0163319799854649</v>
      </c>
      <c r="L101" s="5">
        <f t="shared" si="23"/>
        <v>117241679.723</v>
      </c>
      <c r="M101">
        <v>0</v>
      </c>
    </row>
    <row r="102" spans="1:13" x14ac:dyDescent="0.3">
      <c r="A102" s="2">
        <v>45443</v>
      </c>
      <c r="B102">
        <v>101</v>
      </c>
      <c r="C102">
        <v>118321886.148</v>
      </c>
      <c r="D102" s="4">
        <f t="shared" si="34"/>
        <v>116794392.97261538</v>
      </c>
      <c r="E102" s="4">
        <f t="shared" ref="E102" si="36">AVERAGE(D101:D102)</f>
        <v>116731229.52084614</v>
      </c>
      <c r="F102">
        <f t="shared" si="35"/>
        <v>1.0136266587243459</v>
      </c>
      <c r="G102">
        <v>1.0023766990273115</v>
      </c>
      <c r="H102" s="5">
        <f t="shared" si="29"/>
        <v>118041337.41618042</v>
      </c>
      <c r="I102">
        <f t="shared" si="21"/>
        <v>121855445.89562955</v>
      </c>
      <c r="J102" s="5">
        <f t="shared" si="28"/>
        <v>0.95794840077010301</v>
      </c>
      <c r="K102" s="6">
        <f t="shared" si="22"/>
        <v>1.0112232853257175</v>
      </c>
      <c r="L102" s="5">
        <f t="shared" si="23"/>
        <v>118321886.148</v>
      </c>
      <c r="M102">
        <v>0</v>
      </c>
    </row>
    <row r="103" spans="1:13" x14ac:dyDescent="0.3">
      <c r="A103" s="2">
        <v>45473</v>
      </c>
      <c r="B103">
        <v>102</v>
      </c>
      <c r="C103">
        <v>119146866.31299999</v>
      </c>
      <c r="D103" s="4">
        <f t="shared" si="34"/>
        <v>116846839.19538461</v>
      </c>
      <c r="E103" s="4">
        <f>AVERAGE(D102:D103)</f>
        <v>116820616.08399999</v>
      </c>
      <c r="F103">
        <f t="shared" si="35"/>
        <v>1.0199130111360422</v>
      </c>
      <c r="G103">
        <v>1.0003415092716361</v>
      </c>
      <c r="H103" s="5">
        <f t="shared" si="29"/>
        <v>119106190.44465388</v>
      </c>
      <c r="I103">
        <f t="shared" si="21"/>
        <v>122326805.61253789</v>
      </c>
      <c r="J103" s="5">
        <f t="shared" si="28"/>
        <v>0.95498787448126132</v>
      </c>
      <c r="K103" s="6">
        <f t="shared" si="22"/>
        <v>1.0195648202968768</v>
      </c>
      <c r="L103" s="5">
        <f t="shared" si="23"/>
        <v>119146866.31299999</v>
      </c>
      <c r="M103">
        <v>0</v>
      </c>
    </row>
    <row r="104" spans="1:13" x14ac:dyDescent="0.3">
      <c r="A104" s="2">
        <v>45504</v>
      </c>
      <c r="B104">
        <v>103</v>
      </c>
      <c r="C104">
        <v>116503047.82799999</v>
      </c>
      <c r="D104" s="4">
        <f t="shared" si="34"/>
        <v>117142917.03192307</v>
      </c>
      <c r="E104" s="4">
        <f t="shared" ref="E104:E109" si="37">AVERAGE(D103:D104)</f>
        <v>116994878.11365384</v>
      </c>
      <c r="F104">
        <f t="shared" si="35"/>
        <v>0.9957961383131998</v>
      </c>
      <c r="G104">
        <v>1.0040194025445719</v>
      </c>
      <c r="H104" s="5">
        <f t="shared" si="29"/>
        <v>116036649.82244009</v>
      </c>
      <c r="I104">
        <f t="shared" si="21"/>
        <v>122798165.32944624</v>
      </c>
      <c r="J104" s="5">
        <f t="shared" si="28"/>
        <v>0.9527412547229579</v>
      </c>
      <c r="K104" s="6">
        <f t="shared" si="22"/>
        <v>0.99180965605790972</v>
      </c>
      <c r="L104" s="5">
        <f t="shared" si="23"/>
        <v>116503047.82799999</v>
      </c>
      <c r="M104">
        <v>0</v>
      </c>
    </row>
    <row r="105" spans="1:13" x14ac:dyDescent="0.3">
      <c r="A105" s="2">
        <v>45535</v>
      </c>
      <c r="B105">
        <v>104</v>
      </c>
      <c r="C105">
        <v>116155290.374</v>
      </c>
      <c r="D105" s="4">
        <f t="shared" si="34"/>
        <v>117346856.30084613</v>
      </c>
      <c r="E105" s="4">
        <f t="shared" si="37"/>
        <v>117244886.66638461</v>
      </c>
      <c r="F105">
        <f t="shared" si="35"/>
        <v>0.99070666258149909</v>
      </c>
      <c r="G105">
        <v>1.0023144048936681</v>
      </c>
      <c r="H105" s="5">
        <f t="shared" si="29"/>
        <v>115887080.74720576</v>
      </c>
      <c r="I105">
        <f t="shared" si="21"/>
        <v>123269525.04635459</v>
      </c>
      <c r="J105" s="5">
        <f t="shared" si="28"/>
        <v>0.95112629518362735</v>
      </c>
      <c r="K105" s="6">
        <f t="shared" si="22"/>
        <v>0.98841906067048857</v>
      </c>
      <c r="L105" s="5">
        <f t="shared" si="23"/>
        <v>116155290.374</v>
      </c>
      <c r="M105">
        <v>0</v>
      </c>
    </row>
    <row r="106" spans="1:13" x14ac:dyDescent="0.3">
      <c r="A106" s="2">
        <v>45565</v>
      </c>
      <c r="B106">
        <v>105</v>
      </c>
      <c r="C106">
        <v>116046451.78399999</v>
      </c>
      <c r="D106" s="4">
        <f t="shared" si="34"/>
        <v>117826348.56169231</v>
      </c>
      <c r="E106" s="4">
        <f t="shared" si="37"/>
        <v>117586602.43126923</v>
      </c>
      <c r="F106">
        <f t="shared" si="35"/>
        <v>0.98690198870088564</v>
      </c>
      <c r="G106">
        <v>1.0006957364567286</v>
      </c>
      <c r="H106" s="5">
        <f t="shared" si="29"/>
        <v>115965770.16996014</v>
      </c>
      <c r="I106">
        <f t="shared" si="21"/>
        <v>123740884.76326293</v>
      </c>
      <c r="J106" s="5">
        <f t="shared" si="28"/>
        <v>0.95026476217809597</v>
      </c>
      <c r="K106" s="6">
        <f t="shared" si="22"/>
        <v>0.98621584238513493</v>
      </c>
      <c r="L106" s="5">
        <f t="shared" si="23"/>
        <v>116046451.78399999</v>
      </c>
      <c r="M106">
        <v>0</v>
      </c>
    </row>
    <row r="107" spans="1:13" x14ac:dyDescent="0.3">
      <c r="A107" s="2">
        <v>45596</v>
      </c>
      <c r="B107">
        <v>106</v>
      </c>
      <c r="C107">
        <v>116836696.25399999</v>
      </c>
      <c r="D107" s="4">
        <f>AVERAGE(C102:C114)</f>
        <v>118027636.12846154</v>
      </c>
      <c r="E107" s="4">
        <f t="shared" si="37"/>
        <v>117926992.34507692</v>
      </c>
      <c r="F107">
        <f t="shared" si="35"/>
        <v>0.99075448233355679</v>
      </c>
      <c r="G107">
        <v>1.0027899631053778</v>
      </c>
      <c r="H107" s="5">
        <f t="shared" si="29"/>
        <v>116511633.09631395</v>
      </c>
      <c r="I107">
        <f t="shared" si="21"/>
        <v>124212244.48017128</v>
      </c>
      <c r="J107" s="5">
        <f t="shared" si="28"/>
        <v>0.94939909377374054</v>
      </c>
      <c r="K107" s="6">
        <f t="shared" si="22"/>
        <v>0.98799800435322427</v>
      </c>
      <c r="L107" s="5">
        <f t="shared" si="23"/>
        <v>116836696.25399999</v>
      </c>
      <c r="M107">
        <v>0</v>
      </c>
    </row>
    <row r="108" spans="1:13" x14ac:dyDescent="0.3">
      <c r="A108" s="2">
        <v>45626</v>
      </c>
      <c r="B108">
        <v>107</v>
      </c>
      <c r="C108">
        <v>118362055.68799999</v>
      </c>
      <c r="D108" s="4">
        <f t="shared" ref="D108:D114" si="38">AVERAGE(C103:C115)</f>
        <v>118095301.24892308</v>
      </c>
      <c r="E108" s="4">
        <f t="shared" si="37"/>
        <v>118061468.6886923</v>
      </c>
      <c r="F108">
        <f t="shared" si="35"/>
        <v>1.0025460211756325</v>
      </c>
      <c r="G108">
        <v>1.0039298869473017</v>
      </c>
      <c r="H108" s="5">
        <f t="shared" si="29"/>
        <v>117898727.01958226</v>
      </c>
      <c r="I108">
        <f t="shared" si="21"/>
        <v>124683604.19707963</v>
      </c>
      <c r="J108" s="5">
        <f t="shared" si="28"/>
        <v>0.94688848184144458</v>
      </c>
      <c r="K108" s="6">
        <f t="shared" si="22"/>
        <v>0.99862155137558761</v>
      </c>
      <c r="L108" s="5">
        <f t="shared" si="23"/>
        <v>118362055.68799999</v>
      </c>
      <c r="M108">
        <v>0</v>
      </c>
    </row>
    <row r="109" spans="1:13" x14ac:dyDescent="0.3">
      <c r="A109" s="2">
        <v>45657</v>
      </c>
      <c r="B109">
        <v>108</v>
      </c>
      <c r="C109">
        <v>118538759.118</v>
      </c>
      <c r="D109" s="4">
        <f t="shared" si="38"/>
        <v>118270362.40646155</v>
      </c>
      <c r="E109" s="4">
        <f t="shared" si="37"/>
        <v>118182831.82769231</v>
      </c>
      <c r="F109">
        <f>C109/E109</f>
        <v>1.0030116666253743</v>
      </c>
      <c r="G109">
        <v>1.006828227018538</v>
      </c>
      <c r="H109" s="5">
        <f t="shared" si="29"/>
        <v>117734838.90993199</v>
      </c>
      <c r="I109">
        <f t="shared" si="21"/>
        <v>125154963.91398796</v>
      </c>
      <c r="J109" s="5">
        <f t="shared" si="28"/>
        <v>0.94429200514102496</v>
      </c>
      <c r="K109" s="6">
        <f t="shared" si="22"/>
        <v>0.9962093232085224</v>
      </c>
      <c r="L109" s="5">
        <f t="shared" si="23"/>
        <v>118538759.118</v>
      </c>
      <c r="M109">
        <v>0</v>
      </c>
    </row>
    <row r="110" spans="1:13" x14ac:dyDescent="0.3">
      <c r="A110" s="2">
        <v>45688</v>
      </c>
      <c r="B110">
        <v>109</v>
      </c>
      <c r="C110">
        <v>118136212.704</v>
      </c>
      <c r="D110" s="4">
        <f t="shared" si="38"/>
        <v>118681417.37084617</v>
      </c>
      <c r="E110" s="4">
        <f>AVERAGE(D109:D110)</f>
        <v>118475889.88865386</v>
      </c>
      <c r="F110">
        <f>C110/E110</f>
        <v>0.99713294253393581</v>
      </c>
      <c r="G110">
        <v>0.9903476639815243</v>
      </c>
      <c r="H110" s="5">
        <f t="shared" si="29"/>
        <v>119287616.86482245</v>
      </c>
      <c r="I110">
        <f t="shared" si="21"/>
        <v>125626323.6308963</v>
      </c>
      <c r="J110" s="5">
        <f t="shared" si="28"/>
        <v>0.94308172415161029</v>
      </c>
      <c r="K110" s="6">
        <f t="shared" si="22"/>
        <v>1.0068514106704027</v>
      </c>
      <c r="L110" s="5">
        <f t="shared" si="23"/>
        <v>118136212.704</v>
      </c>
      <c r="M110">
        <v>0</v>
      </c>
    </row>
    <row r="111" spans="1:13" x14ac:dyDescent="0.3">
      <c r="A111" s="2">
        <v>45716</v>
      </c>
      <c r="B111">
        <v>110</v>
      </c>
      <c r="C111">
        <v>119379072.09199999</v>
      </c>
      <c r="D111" s="4">
        <f t="shared" si="38"/>
        <v>119077018.38938461</v>
      </c>
      <c r="E111" s="4">
        <f t="shared" ref="E111:E114" si="39">AVERAGE(D110:D111)</f>
        <v>118879217.88011539</v>
      </c>
      <c r="F111">
        <f t="shared" ref="F111:F114" si="40">C111/E111</f>
        <v>1.0042047232543931</v>
      </c>
      <c r="G111">
        <v>0.984824610654224</v>
      </c>
      <c r="H111" s="5">
        <f t="shared" si="29"/>
        <v>121218611.72081785</v>
      </c>
      <c r="I111">
        <f t="shared" si="21"/>
        <v>126097683.34780465</v>
      </c>
      <c r="J111" s="5">
        <f t="shared" si="28"/>
        <v>0.94275497157406796</v>
      </c>
      <c r="K111" s="6">
        <f t="shared" si="22"/>
        <v>1.0196787452207301</v>
      </c>
      <c r="L111" s="5">
        <f t="shared" si="23"/>
        <v>119379072.09199999</v>
      </c>
      <c r="M111">
        <v>0</v>
      </c>
    </row>
    <row r="112" spans="1:13" x14ac:dyDescent="0.3">
      <c r="A112" s="2">
        <v>45747</v>
      </c>
      <c r="B112">
        <v>111</v>
      </c>
      <c r="C112">
        <v>117477731.869</v>
      </c>
      <c r="D112" s="4">
        <f t="shared" si="38"/>
        <v>119456187.68076922</v>
      </c>
      <c r="E112" s="4">
        <f t="shared" si="39"/>
        <v>119266603.03507692</v>
      </c>
      <c r="F112">
        <f t="shared" si="40"/>
        <v>0.98500107221507094</v>
      </c>
      <c r="G112">
        <v>0.9823125470139884</v>
      </c>
      <c r="H112" s="5">
        <f t="shared" si="29"/>
        <v>119593027.92793004</v>
      </c>
      <c r="I112">
        <f t="shared" si="21"/>
        <v>126569043.064713</v>
      </c>
      <c r="J112" s="5">
        <f t="shared" si="28"/>
        <v>0.94230469115656934</v>
      </c>
      <c r="K112" s="6">
        <f t="shared" si="22"/>
        <v>1.0027369346032025</v>
      </c>
      <c r="L112" s="5">
        <f t="shared" si="23"/>
        <v>117477731.86899999</v>
      </c>
      <c r="M112">
        <v>0</v>
      </c>
    </row>
    <row r="113" spans="1:13" x14ac:dyDescent="0.3">
      <c r="A113" s="2">
        <v>45777</v>
      </c>
      <c r="B113">
        <v>112</v>
      </c>
      <c r="C113">
        <v>119596781.40700001</v>
      </c>
      <c r="D113" s="4">
        <f t="shared" si="38"/>
        <v>119776455.98738462</v>
      </c>
      <c r="E113" s="4">
        <f t="shared" si="39"/>
        <v>119616321.83407691</v>
      </c>
      <c r="F113">
        <f t="shared" si="40"/>
        <v>0.99983664079636214</v>
      </c>
      <c r="G113">
        <v>0.98912096118084081</v>
      </c>
      <c r="H113" s="5">
        <f t="shared" si="29"/>
        <v>120912189.81369272</v>
      </c>
      <c r="I113">
        <f t="shared" si="21"/>
        <v>127040402.78162134</v>
      </c>
      <c r="J113" s="5">
        <f t="shared" si="28"/>
        <v>0.94156126094541592</v>
      </c>
      <c r="K113" s="6">
        <f t="shared" si="22"/>
        <v>1.0108335380970277</v>
      </c>
      <c r="L113" s="5">
        <f t="shared" si="23"/>
        <v>119596781.40700001</v>
      </c>
      <c r="M113">
        <v>0</v>
      </c>
    </row>
    <row r="114" spans="1:13" x14ac:dyDescent="0.3">
      <c r="A114" s="2">
        <v>45808</v>
      </c>
      <c r="B114">
        <v>113</v>
      </c>
      <c r="C114">
        <v>119858418.09100001</v>
      </c>
      <c r="D114" s="4">
        <f t="shared" si="38"/>
        <v>120182643.94707693</v>
      </c>
      <c r="E114" s="4">
        <f t="shared" si="39"/>
        <v>119979549.96723077</v>
      </c>
      <c r="F114">
        <f t="shared" si="40"/>
        <v>0.9989903956443924</v>
      </c>
      <c r="G114">
        <v>1.0023766990273115</v>
      </c>
      <c r="H114" s="5">
        <f t="shared" si="29"/>
        <v>119574226.14403196</v>
      </c>
      <c r="I114">
        <f t="shared" si="21"/>
        <v>127511762.49852969</v>
      </c>
      <c r="J114" s="5">
        <f t="shared" si="28"/>
        <v>0.94092927284739103</v>
      </c>
      <c r="K114" s="6">
        <f t="shared" si="22"/>
        <v>0.99662172575818542</v>
      </c>
      <c r="L114" s="5">
        <f t="shared" si="23"/>
        <v>119858418.09100001</v>
      </c>
      <c r="M114">
        <v>0</v>
      </c>
    </row>
    <row r="115" spans="1:13" x14ac:dyDescent="0.3">
      <c r="A115" s="2">
        <v>45838</v>
      </c>
      <c r="B115">
        <v>114</v>
      </c>
      <c r="C115">
        <v>119201532.714</v>
      </c>
      <c r="D115" s="4"/>
      <c r="G115">
        <v>1.0003415092716361</v>
      </c>
      <c r="H115" s="5">
        <f t="shared" si="29"/>
        <v>119160838.1829446</v>
      </c>
      <c r="I115">
        <f t="shared" si="21"/>
        <v>127983122.21543804</v>
      </c>
      <c r="J115" s="5">
        <v>1</v>
      </c>
      <c r="K115" s="6">
        <f t="shared" si="22"/>
        <v>0.93106681662569057</v>
      </c>
      <c r="L115" s="5">
        <f t="shared" si="23"/>
        <v>119201532.714</v>
      </c>
      <c r="M115">
        <v>0</v>
      </c>
    </row>
    <row r="116" spans="1:13" x14ac:dyDescent="0.3">
      <c r="A116" s="2">
        <v>45869</v>
      </c>
      <c r="B116">
        <v>115</v>
      </c>
      <c r="C116">
        <v>121422661.361</v>
      </c>
      <c r="D116" s="4"/>
      <c r="G116">
        <v>1.0040194025445719</v>
      </c>
      <c r="H116" s="5">
        <f t="shared" si="29"/>
        <v>120936568.60939959</v>
      </c>
      <c r="I116">
        <f t="shared" si="21"/>
        <v>128454481.93234637</v>
      </c>
      <c r="J116" s="5">
        <v>1</v>
      </c>
      <c r="K116" s="6">
        <f t="shared" si="22"/>
        <v>0.94147410654844821</v>
      </c>
      <c r="L116" s="5">
        <f t="shared" si="23"/>
        <v>121422661.361</v>
      </c>
      <c r="M116">
        <v>0</v>
      </c>
    </row>
    <row r="117" spans="1:13" x14ac:dyDescent="0.3">
      <c r="A117" s="2">
        <v>45900</v>
      </c>
      <c r="B117">
        <v>116</v>
      </c>
      <c r="C117">
        <v>121846762.36499999</v>
      </c>
      <c r="D117" s="4"/>
      <c r="G117">
        <v>1.0023144048936681</v>
      </c>
      <c r="H117" s="5">
        <f t="shared" si="29"/>
        <v>121565410.78338216</v>
      </c>
      <c r="I117">
        <f t="shared" si="21"/>
        <v>128925841.64925471</v>
      </c>
      <c r="J117" s="5">
        <v>1</v>
      </c>
      <c r="K117" s="6">
        <f t="shared" si="22"/>
        <v>0.94290957676354181</v>
      </c>
      <c r="L117" s="5">
        <f t="shared" si="23"/>
        <v>121846762.36499999</v>
      </c>
      <c r="M117">
        <v>0</v>
      </c>
    </row>
    <row r="118" spans="1:13" x14ac:dyDescent="0.3">
      <c r="A118" s="2">
        <v>45930</v>
      </c>
      <c r="B118">
        <v>117</v>
      </c>
      <c r="C118">
        <v>121298103.61499999</v>
      </c>
      <c r="D118" s="4"/>
      <c r="G118">
        <v>1.0006957364567286</v>
      </c>
      <c r="H118" s="5">
        <f t="shared" si="29"/>
        <v>121213770.77561386</v>
      </c>
      <c r="I118">
        <f t="shared" si="21"/>
        <v>129397201.36616306</v>
      </c>
      <c r="J118" s="5">
        <v>1</v>
      </c>
      <c r="K118" s="6">
        <f t="shared" si="22"/>
        <v>0.93675728296942018</v>
      </c>
      <c r="L118" s="5">
        <f t="shared" si="23"/>
        <v>121298103.61499999</v>
      </c>
      <c r="M118">
        <v>0</v>
      </c>
    </row>
    <row r="119" spans="1:13" x14ac:dyDescent="0.3">
      <c r="A119" s="2">
        <v>45961</v>
      </c>
      <c r="B119">
        <v>118</v>
      </c>
      <c r="C119">
        <v>120975652.572</v>
      </c>
      <c r="D119" s="4"/>
      <c r="G119">
        <v>1.0027899631053778</v>
      </c>
      <c r="H119" s="5">
        <f t="shared" si="29"/>
        <v>120639074.00645505</v>
      </c>
      <c r="I119">
        <f t="shared" si="21"/>
        <v>129868561.08307141</v>
      </c>
      <c r="J119" s="5">
        <v>1</v>
      </c>
      <c r="K119" s="6">
        <f t="shared" si="22"/>
        <v>0.92893209103385188</v>
      </c>
      <c r="L119" s="5">
        <f t="shared" si="23"/>
        <v>120975652.572</v>
      </c>
      <c r="M119">
        <v>0</v>
      </c>
    </row>
    <row r="120" spans="1:13" x14ac:dyDescent="0.3">
      <c r="A120" s="2">
        <v>45991</v>
      </c>
      <c r="B120">
        <v>119</v>
      </c>
      <c r="C120">
        <v>121000184.23999999</v>
      </c>
      <c r="D120" s="4"/>
      <c r="G120">
        <v>1.0039298869473017</v>
      </c>
      <c r="H120" s="5">
        <f t="shared" si="29"/>
        <v>120526528.6084182</v>
      </c>
      <c r="I120">
        <f t="shared" si="21"/>
        <v>130339920.79997975</v>
      </c>
      <c r="J120" s="5">
        <v>1</v>
      </c>
      <c r="K120" s="6">
        <f t="shared" si="22"/>
        <v>0.92470923619309831</v>
      </c>
      <c r="L120" s="5">
        <f t="shared" si="23"/>
        <v>121000184.23999999</v>
      </c>
      <c r="M120">
        <v>0</v>
      </c>
    </row>
    <row r="121" spans="1:13" x14ac:dyDescent="0.3">
      <c r="A121" s="2">
        <v>46022</v>
      </c>
      <c r="B121">
        <v>120</v>
      </c>
      <c r="C121">
        <v>123642499.164</v>
      </c>
      <c r="D121" s="4"/>
      <c r="G121">
        <v>1.006828227018538</v>
      </c>
      <c r="H121" s="5">
        <f t="shared" si="29"/>
        <v>122803965.8066951</v>
      </c>
      <c r="I121">
        <f t="shared" si="21"/>
        <v>130811280.5168881</v>
      </c>
      <c r="J121" s="5">
        <v>1</v>
      </c>
      <c r="K121" s="6">
        <f t="shared" si="22"/>
        <v>0.9387872767657891</v>
      </c>
      <c r="L121" s="5">
        <f t="shared" si="23"/>
        <v>123642499.164</v>
      </c>
      <c r="M121">
        <v>0</v>
      </c>
    </row>
    <row r="122" spans="1:13" x14ac:dyDescent="0.3">
      <c r="A122" s="2">
        <v>46053</v>
      </c>
      <c r="B122" s="7">
        <v>121</v>
      </c>
      <c r="G122">
        <v>0.9903476639815243</v>
      </c>
      <c r="I122">
        <f t="shared" si="21"/>
        <v>131282640.23379645</v>
      </c>
      <c r="J122" s="5">
        <v>1</v>
      </c>
      <c r="K122" s="5">
        <v>1</v>
      </c>
      <c r="L122" s="5">
        <f>G122*I122</f>
        <v>130015456.07686719</v>
      </c>
      <c r="M122">
        <v>0</v>
      </c>
    </row>
    <row r="123" spans="1:13" x14ac:dyDescent="0.3">
      <c r="A123" s="2">
        <v>46081</v>
      </c>
      <c r="B123" s="7">
        <v>122</v>
      </c>
      <c r="G123">
        <v>0.984824610654224</v>
      </c>
      <c r="I123">
        <f t="shared" si="21"/>
        <v>131753999.95070478</v>
      </c>
      <c r="J123" s="5">
        <v>1</v>
      </c>
      <c r="K123" s="5">
        <v>1</v>
      </c>
      <c r="L123" s="5">
        <f t="shared" ref="L123:L157" si="41">G123*I123</f>
        <v>129754581.70358948</v>
      </c>
      <c r="M123">
        <v>0</v>
      </c>
    </row>
    <row r="124" spans="1:13" x14ac:dyDescent="0.3">
      <c r="A124" s="2">
        <v>46112</v>
      </c>
      <c r="B124" s="7">
        <v>123</v>
      </c>
      <c r="G124">
        <v>0.9823125470139884</v>
      </c>
      <c r="I124">
        <f t="shared" si="21"/>
        <v>132225359.66761312</v>
      </c>
      <c r="J124" s="5">
        <v>1</v>
      </c>
      <c r="K124" s="5">
        <v>1</v>
      </c>
      <c r="L124" s="5">
        <f t="shared" si="41"/>
        <v>129886629.83493374</v>
      </c>
      <c r="M124">
        <v>0</v>
      </c>
    </row>
    <row r="125" spans="1:13" x14ac:dyDescent="0.3">
      <c r="A125" s="2">
        <v>46142</v>
      </c>
      <c r="B125" s="7">
        <v>124</v>
      </c>
      <c r="G125">
        <v>0.98912096118084081</v>
      </c>
      <c r="I125">
        <f t="shared" si="21"/>
        <v>132696719.38452147</v>
      </c>
      <c r="J125" s="5">
        <v>1</v>
      </c>
      <c r="K125" s="5">
        <v>1</v>
      </c>
      <c r="L125" s="5">
        <f t="shared" si="41"/>
        <v>131253106.62316218</v>
      </c>
      <c r="M125">
        <v>0</v>
      </c>
    </row>
    <row r="126" spans="1:13" x14ac:dyDescent="0.3">
      <c r="A126" s="2">
        <v>46173</v>
      </c>
      <c r="B126" s="7">
        <v>125</v>
      </c>
      <c r="G126">
        <v>1.0023766990273115</v>
      </c>
      <c r="I126">
        <f t="shared" si="21"/>
        <v>133168079.10142982</v>
      </c>
      <c r="J126" s="5">
        <v>1</v>
      </c>
      <c r="K126" s="5">
        <v>1</v>
      </c>
      <c r="L126" s="5">
        <f t="shared" si="41"/>
        <v>133484579.54549913</v>
      </c>
      <c r="M126">
        <v>0</v>
      </c>
    </row>
    <row r="127" spans="1:13" x14ac:dyDescent="0.3">
      <c r="A127" s="2">
        <v>46203</v>
      </c>
      <c r="B127" s="7">
        <v>126</v>
      </c>
      <c r="G127">
        <v>1.0003415092716361</v>
      </c>
      <c r="I127">
        <f t="shared" si="21"/>
        <v>133639438.81833816</v>
      </c>
      <c r="J127" s="5">
        <v>1</v>
      </c>
      <c r="K127" s="5">
        <v>1</v>
      </c>
      <c r="L127" s="5">
        <f t="shared" si="41"/>
        <v>133685077.92575087</v>
      </c>
      <c r="M127">
        <v>0</v>
      </c>
    </row>
    <row r="128" spans="1:13" x14ac:dyDescent="0.3">
      <c r="A128" s="2">
        <v>46234</v>
      </c>
      <c r="B128" s="7">
        <v>127</v>
      </c>
      <c r="G128">
        <v>1.0040194025445719</v>
      </c>
      <c r="I128">
        <f t="shared" si="21"/>
        <v>134110798.53524651</v>
      </c>
      <c r="J128" s="5">
        <v>1</v>
      </c>
      <c r="K128" s="5">
        <v>1</v>
      </c>
      <c r="L128" s="5">
        <f t="shared" si="41"/>
        <v>134649843.82013366</v>
      </c>
      <c r="M128">
        <v>0</v>
      </c>
    </row>
    <row r="129" spans="1:13" x14ac:dyDescent="0.3">
      <c r="A129" s="2">
        <v>46265</v>
      </c>
      <c r="B129" s="7">
        <v>128</v>
      </c>
      <c r="G129">
        <v>1.0023144048936681</v>
      </c>
      <c r="I129">
        <f t="shared" si="21"/>
        <v>134582158.25215486</v>
      </c>
      <c r="J129" s="5">
        <v>1</v>
      </c>
      <c r="K129" s="5">
        <v>1</v>
      </c>
      <c r="L129" s="5">
        <f t="shared" si="41"/>
        <v>134893635.85781404</v>
      </c>
      <c r="M129">
        <v>0</v>
      </c>
    </row>
    <row r="130" spans="1:13" x14ac:dyDescent="0.3">
      <c r="A130" s="2">
        <v>46295</v>
      </c>
      <c r="B130" s="7">
        <v>129</v>
      </c>
      <c r="G130">
        <v>1.0006957364567286</v>
      </c>
      <c r="I130">
        <f t="shared" si="21"/>
        <v>135053517.96906319</v>
      </c>
      <c r="J130" s="5">
        <v>1</v>
      </c>
      <c r="K130" s="5">
        <v>1</v>
      </c>
      <c r="L130" s="5">
        <f t="shared" si="41"/>
        <v>135147479.62512371</v>
      </c>
      <c r="M130">
        <v>0</v>
      </c>
    </row>
    <row r="131" spans="1:13" x14ac:dyDescent="0.3">
      <c r="A131" s="2">
        <v>46326</v>
      </c>
      <c r="B131" s="7">
        <v>130</v>
      </c>
      <c r="G131">
        <v>1.0027899631053778</v>
      </c>
      <c r="I131">
        <f t="shared" ref="I131:I157" si="42">$P$4+$P$5*B131</f>
        <v>135524877.68597153</v>
      </c>
      <c r="J131" s="5">
        <v>1</v>
      </c>
      <c r="K131" s="5">
        <v>1</v>
      </c>
      <c r="L131" s="5">
        <f t="shared" si="41"/>
        <v>135902987.09457624</v>
      </c>
      <c r="M131">
        <v>0</v>
      </c>
    </row>
    <row r="132" spans="1:13" x14ac:dyDescent="0.3">
      <c r="A132" s="2">
        <v>46356</v>
      </c>
      <c r="B132" s="7">
        <v>131</v>
      </c>
      <c r="G132">
        <v>1.0039298869473017</v>
      </c>
      <c r="I132">
        <f t="shared" si="42"/>
        <v>135996237.40287989</v>
      </c>
      <c r="J132" s="5">
        <v>1</v>
      </c>
      <c r="K132" s="5">
        <v>1</v>
      </c>
      <c r="L132" s="5">
        <f t="shared" si="41"/>
        <v>136530687.2411316</v>
      </c>
      <c r="M132">
        <v>0</v>
      </c>
    </row>
    <row r="133" spans="1:13" x14ac:dyDescent="0.3">
      <c r="A133" s="2">
        <v>46387</v>
      </c>
      <c r="B133" s="7">
        <v>132</v>
      </c>
      <c r="G133">
        <v>1.006828227018538</v>
      </c>
      <c r="I133">
        <f t="shared" si="42"/>
        <v>136467597.11978823</v>
      </c>
      <c r="J133" s="5">
        <v>1</v>
      </c>
      <c r="K133" s="5">
        <v>1</v>
      </c>
      <c r="L133" s="5">
        <f t="shared" si="41"/>
        <v>137399428.85359654</v>
      </c>
      <c r="M133">
        <v>0</v>
      </c>
    </row>
    <row r="134" spans="1:13" x14ac:dyDescent="0.3">
      <c r="A134" s="2">
        <v>46418</v>
      </c>
      <c r="B134" s="7">
        <v>133</v>
      </c>
      <c r="G134">
        <v>0.9903476639815243</v>
      </c>
      <c r="I134">
        <f t="shared" si="42"/>
        <v>136938956.83669657</v>
      </c>
      <c r="J134" s="5">
        <v>1</v>
      </c>
      <c r="K134" s="5">
        <v>1</v>
      </c>
      <c r="L134" s="5">
        <f t="shared" si="41"/>
        <v>135617176.01128924</v>
      </c>
      <c r="M134">
        <v>0</v>
      </c>
    </row>
    <row r="135" spans="1:13" x14ac:dyDescent="0.3">
      <c r="A135" s="2">
        <v>46446</v>
      </c>
      <c r="B135" s="7">
        <v>134</v>
      </c>
      <c r="G135">
        <v>0.984824610654224</v>
      </c>
      <c r="I135">
        <f t="shared" si="42"/>
        <v>137410316.5536049</v>
      </c>
      <c r="J135" s="5">
        <v>1</v>
      </c>
      <c r="K135" s="5">
        <v>1</v>
      </c>
      <c r="L135" s="5">
        <f t="shared" si="41"/>
        <v>135325061.49977762</v>
      </c>
      <c r="M135">
        <v>0</v>
      </c>
    </row>
    <row r="136" spans="1:13" x14ac:dyDescent="0.3">
      <c r="A136" s="2">
        <v>46477</v>
      </c>
      <c r="B136" s="7">
        <v>135</v>
      </c>
      <c r="G136">
        <v>0.9823125470139884</v>
      </c>
      <c r="I136">
        <f t="shared" si="42"/>
        <v>137881676.27051327</v>
      </c>
      <c r="J136" s="5">
        <v>1</v>
      </c>
      <c r="K136" s="5">
        <v>1</v>
      </c>
      <c r="L136" s="5">
        <f t="shared" si="41"/>
        <v>135442900.6038461</v>
      </c>
      <c r="M136">
        <v>0</v>
      </c>
    </row>
    <row r="137" spans="1:13" x14ac:dyDescent="0.3">
      <c r="A137" s="2">
        <v>46507</v>
      </c>
      <c r="B137" s="7">
        <v>136</v>
      </c>
      <c r="G137">
        <v>0.98912096118084081</v>
      </c>
      <c r="I137">
        <f t="shared" si="42"/>
        <v>138353035.9874216</v>
      </c>
      <c r="J137" s="5">
        <v>1</v>
      </c>
      <c r="K137" s="5">
        <v>1</v>
      </c>
      <c r="L137" s="5">
        <f t="shared" si="41"/>
        <v>136847887.9381659</v>
      </c>
      <c r="M137">
        <v>0</v>
      </c>
    </row>
    <row r="138" spans="1:13" x14ac:dyDescent="0.3">
      <c r="A138" s="2">
        <v>46538</v>
      </c>
      <c r="B138" s="7">
        <v>137</v>
      </c>
      <c r="G138">
        <v>1.0023766990273115</v>
      </c>
      <c r="I138">
        <f t="shared" si="42"/>
        <v>138824395.70432994</v>
      </c>
      <c r="J138" s="5">
        <v>1</v>
      </c>
      <c r="K138" s="5">
        <v>1</v>
      </c>
      <c r="L138" s="5">
        <f t="shared" si="41"/>
        <v>139154339.51056752</v>
      </c>
      <c r="M138">
        <v>0</v>
      </c>
    </row>
    <row r="139" spans="1:13" x14ac:dyDescent="0.3">
      <c r="A139" s="2">
        <v>46568</v>
      </c>
      <c r="B139" s="7">
        <v>138</v>
      </c>
      <c r="G139">
        <v>1.0003415092716361</v>
      </c>
      <c r="I139">
        <f t="shared" si="42"/>
        <v>139295755.4212383</v>
      </c>
      <c r="J139" s="5">
        <v>1</v>
      </c>
      <c r="K139" s="5">
        <v>1</v>
      </c>
      <c r="L139" s="5">
        <f t="shared" si="41"/>
        <v>139343326.21321422</v>
      </c>
      <c r="M139">
        <v>0</v>
      </c>
    </row>
    <row r="140" spans="1:13" x14ac:dyDescent="0.3">
      <c r="A140" s="2">
        <v>46599</v>
      </c>
      <c r="B140" s="7">
        <v>139</v>
      </c>
      <c r="G140">
        <v>1.0040194025445719</v>
      </c>
      <c r="I140">
        <f t="shared" si="42"/>
        <v>139767115.13814664</v>
      </c>
      <c r="J140" s="5">
        <v>1</v>
      </c>
      <c r="K140" s="5">
        <v>1</v>
      </c>
      <c r="L140" s="5">
        <f t="shared" si="41"/>
        <v>140328895.43638039</v>
      </c>
      <c r="M140">
        <v>0</v>
      </c>
    </row>
    <row r="141" spans="1:13" x14ac:dyDescent="0.3">
      <c r="A141" s="2">
        <v>46630</v>
      </c>
      <c r="B141" s="7">
        <v>140</v>
      </c>
      <c r="G141">
        <v>1.0023144048936681</v>
      </c>
      <c r="I141">
        <f t="shared" si="42"/>
        <v>140238474.85505497</v>
      </c>
      <c r="J141" s="5">
        <v>1</v>
      </c>
      <c r="K141" s="5">
        <v>1</v>
      </c>
      <c r="L141" s="5">
        <f t="shared" si="41"/>
        <v>140563043.46754006</v>
      </c>
      <c r="M141">
        <v>0</v>
      </c>
    </row>
    <row r="142" spans="1:13" x14ac:dyDescent="0.3">
      <c r="A142" s="2">
        <v>46660</v>
      </c>
      <c r="B142" s="7">
        <v>141</v>
      </c>
      <c r="G142">
        <v>1.0006957364567286</v>
      </c>
      <c r="I142">
        <f t="shared" si="42"/>
        <v>140709834.57196331</v>
      </c>
      <c r="J142" s="5">
        <v>1</v>
      </c>
      <c r="K142" s="5">
        <v>1</v>
      </c>
      <c r="L142" s="5">
        <f t="shared" si="41"/>
        <v>140807731.53369528</v>
      </c>
      <c r="M142">
        <v>0</v>
      </c>
    </row>
    <row r="143" spans="1:13" x14ac:dyDescent="0.3">
      <c r="A143" s="2">
        <v>46691</v>
      </c>
      <c r="B143" s="7">
        <v>142</v>
      </c>
      <c r="G143">
        <v>1.0027899631053778</v>
      </c>
      <c r="I143">
        <f t="shared" si="42"/>
        <v>141181194.28887168</v>
      </c>
      <c r="J143" s="5">
        <v>1</v>
      </c>
      <c r="K143" s="5">
        <v>1</v>
      </c>
      <c r="L143" s="5">
        <f t="shared" si="41"/>
        <v>141575084.61211079</v>
      </c>
      <c r="M143">
        <v>0</v>
      </c>
    </row>
    <row r="144" spans="1:13" x14ac:dyDescent="0.3">
      <c r="A144" s="2">
        <v>46721</v>
      </c>
      <c r="B144" s="7">
        <v>143</v>
      </c>
      <c r="G144">
        <v>1.0039298869473017</v>
      </c>
      <c r="I144">
        <f t="shared" si="42"/>
        <v>141652554.00578001</v>
      </c>
      <c r="J144" s="5">
        <v>1</v>
      </c>
      <c r="K144" s="5">
        <v>1</v>
      </c>
      <c r="L144" s="5">
        <f t="shared" si="41"/>
        <v>142209232.52881926</v>
      </c>
      <c r="M144">
        <v>0</v>
      </c>
    </row>
    <row r="145" spans="1:13" x14ac:dyDescent="0.3">
      <c r="A145" s="2">
        <v>46752</v>
      </c>
      <c r="B145" s="7">
        <v>144</v>
      </c>
      <c r="G145">
        <v>1.006828227018538</v>
      </c>
      <c r="I145">
        <f t="shared" si="42"/>
        <v>142123913.72268838</v>
      </c>
      <c r="J145" s="5">
        <v>1</v>
      </c>
      <c r="K145" s="5">
        <v>1</v>
      </c>
      <c r="L145" s="5">
        <f t="shared" si="41"/>
        <v>143094368.07034999</v>
      </c>
      <c r="M145">
        <v>0</v>
      </c>
    </row>
    <row r="146" spans="1:13" x14ac:dyDescent="0.3">
      <c r="A146" s="2">
        <v>46783</v>
      </c>
      <c r="B146" s="7">
        <v>145</v>
      </c>
      <c r="G146">
        <v>0.9903476639815243</v>
      </c>
      <c r="I146">
        <f t="shared" si="42"/>
        <v>142595273.43959671</v>
      </c>
      <c r="J146" s="5">
        <v>1</v>
      </c>
      <c r="K146" s="5">
        <v>1</v>
      </c>
      <c r="L146" s="5">
        <f t="shared" si="41"/>
        <v>141218895.94571131</v>
      </c>
      <c r="M146">
        <v>0</v>
      </c>
    </row>
    <row r="147" spans="1:13" x14ac:dyDescent="0.3">
      <c r="A147" s="2">
        <v>46812</v>
      </c>
      <c r="B147" s="7">
        <v>146</v>
      </c>
      <c r="G147">
        <v>0.984824610654224</v>
      </c>
      <c r="I147">
        <f t="shared" si="42"/>
        <v>143066633.15650505</v>
      </c>
      <c r="J147" s="5">
        <v>1</v>
      </c>
      <c r="K147" s="5">
        <v>1</v>
      </c>
      <c r="L147" s="5">
        <f t="shared" si="41"/>
        <v>140895541.29596579</v>
      </c>
      <c r="M147">
        <v>0</v>
      </c>
    </row>
    <row r="148" spans="1:13" x14ac:dyDescent="0.3">
      <c r="A148" s="2">
        <v>46843</v>
      </c>
      <c r="B148" s="7">
        <v>147</v>
      </c>
      <c r="G148">
        <v>0.9823125470139884</v>
      </c>
      <c r="I148">
        <f t="shared" si="42"/>
        <v>143537992.87341338</v>
      </c>
      <c r="J148" s="5">
        <v>1</v>
      </c>
      <c r="K148" s="5">
        <v>1</v>
      </c>
      <c r="L148" s="5">
        <f t="shared" si="41"/>
        <v>140999171.37275842</v>
      </c>
      <c r="M148">
        <v>0</v>
      </c>
    </row>
    <row r="149" spans="1:13" x14ac:dyDescent="0.3">
      <c r="A149" s="2">
        <v>46873</v>
      </c>
      <c r="B149" s="7">
        <v>148</v>
      </c>
      <c r="G149">
        <v>0.98912096118084081</v>
      </c>
      <c r="I149">
        <f t="shared" si="42"/>
        <v>144009352.59032172</v>
      </c>
      <c r="J149" s="5">
        <v>1</v>
      </c>
      <c r="K149" s="5">
        <v>1</v>
      </c>
      <c r="L149" s="5">
        <f t="shared" si="41"/>
        <v>142442669.25316963</v>
      </c>
      <c r="M149">
        <v>0</v>
      </c>
    </row>
    <row r="150" spans="1:13" x14ac:dyDescent="0.3">
      <c r="A150" s="2">
        <v>46904</v>
      </c>
      <c r="B150" s="7">
        <v>149</v>
      </c>
      <c r="G150">
        <v>1.0023766990273115</v>
      </c>
      <c r="I150">
        <f t="shared" si="42"/>
        <v>144480712.30723009</v>
      </c>
      <c r="J150" s="5">
        <v>1</v>
      </c>
      <c r="K150" s="5">
        <v>1</v>
      </c>
      <c r="L150" s="5">
        <f t="shared" si="41"/>
        <v>144824099.47563595</v>
      </c>
      <c r="M150">
        <v>0</v>
      </c>
    </row>
    <row r="151" spans="1:13" x14ac:dyDescent="0.3">
      <c r="A151" s="2">
        <v>46934</v>
      </c>
      <c r="B151" s="7">
        <v>150</v>
      </c>
      <c r="G151">
        <v>1.0003415092716361</v>
      </c>
      <c r="I151">
        <f t="shared" si="42"/>
        <v>144952072.02413842</v>
      </c>
      <c r="J151" s="5">
        <v>1</v>
      </c>
      <c r="K151" s="5">
        <v>1</v>
      </c>
      <c r="L151" s="5">
        <f t="shared" si="41"/>
        <v>145001574.50067753</v>
      </c>
      <c r="M151">
        <v>0</v>
      </c>
    </row>
    <row r="152" spans="1:13" x14ac:dyDescent="0.3">
      <c r="A152" s="2">
        <v>46965</v>
      </c>
      <c r="B152" s="7">
        <v>151</v>
      </c>
      <c r="G152">
        <v>1.0040194025445719</v>
      </c>
      <c r="I152">
        <f t="shared" si="42"/>
        <v>145423431.74104679</v>
      </c>
      <c r="J152" s="5">
        <v>1</v>
      </c>
      <c r="K152" s="5">
        <v>1</v>
      </c>
      <c r="L152" s="5">
        <f t="shared" si="41"/>
        <v>146007947.05262712</v>
      </c>
      <c r="M152">
        <v>0</v>
      </c>
    </row>
    <row r="153" spans="1:13" x14ac:dyDescent="0.3">
      <c r="A153" s="2">
        <v>46996</v>
      </c>
      <c r="B153" s="7">
        <v>152</v>
      </c>
      <c r="G153">
        <v>1.0023144048936681</v>
      </c>
      <c r="I153">
        <f t="shared" si="42"/>
        <v>145894791.45795512</v>
      </c>
      <c r="J153" s="5">
        <v>1</v>
      </c>
      <c r="K153" s="5">
        <v>1</v>
      </c>
      <c r="L153" s="5">
        <f t="shared" si="41"/>
        <v>146232451.0772661</v>
      </c>
      <c r="M153">
        <v>0</v>
      </c>
    </row>
    <row r="154" spans="1:13" x14ac:dyDescent="0.3">
      <c r="A154" s="2">
        <v>47026</v>
      </c>
      <c r="B154" s="7">
        <v>153</v>
      </c>
      <c r="G154">
        <v>1.0006957364567286</v>
      </c>
      <c r="I154">
        <f t="shared" si="42"/>
        <v>146366151.17486346</v>
      </c>
      <c r="J154" s="5">
        <v>1</v>
      </c>
      <c r="K154" s="5">
        <v>1</v>
      </c>
      <c r="L154" s="5">
        <f t="shared" si="41"/>
        <v>146467983.44226685</v>
      </c>
      <c r="M154">
        <v>0</v>
      </c>
    </row>
    <row r="155" spans="1:13" x14ac:dyDescent="0.3">
      <c r="A155" s="2">
        <v>47057</v>
      </c>
      <c r="B155" s="7">
        <v>154</v>
      </c>
      <c r="G155">
        <v>1.0027899631053778</v>
      </c>
      <c r="I155">
        <f t="shared" si="42"/>
        <v>146837510.89177179</v>
      </c>
      <c r="J155" s="5">
        <v>1</v>
      </c>
      <c r="K155" s="5">
        <v>1</v>
      </c>
      <c r="L155" s="5">
        <f t="shared" si="41"/>
        <v>147247182.12964535</v>
      </c>
      <c r="M155">
        <v>0</v>
      </c>
    </row>
    <row r="156" spans="1:13" x14ac:dyDescent="0.3">
      <c r="A156" s="2">
        <v>47087</v>
      </c>
      <c r="B156" s="7">
        <v>155</v>
      </c>
      <c r="G156">
        <v>1.0039298869473017</v>
      </c>
      <c r="I156">
        <f t="shared" si="42"/>
        <v>147308870.60868013</v>
      </c>
      <c r="J156" s="5">
        <v>1</v>
      </c>
      <c r="K156" s="5">
        <v>1</v>
      </c>
      <c r="L156" s="5">
        <f t="shared" si="41"/>
        <v>147887777.81650692</v>
      </c>
      <c r="M156">
        <v>0</v>
      </c>
    </row>
    <row r="157" spans="1:13" x14ac:dyDescent="0.3">
      <c r="A157" s="2">
        <v>47118</v>
      </c>
      <c r="B157" s="7">
        <v>156</v>
      </c>
      <c r="G157">
        <v>1.006828227018538</v>
      </c>
      <c r="I157">
        <f t="shared" si="42"/>
        <v>147780230.32558849</v>
      </c>
      <c r="J157" s="5">
        <v>1</v>
      </c>
      <c r="K157" s="5">
        <v>1</v>
      </c>
      <c r="L157" s="5">
        <f t="shared" si="41"/>
        <v>148789307.28710344</v>
      </c>
      <c r="M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BASE_BCP</vt:lpstr>
      <vt:lpstr>ADITIVO</vt:lpstr>
      <vt:lpstr>MULTIPLICATIVO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MINAYA ROJAS</cp:lastModifiedBy>
  <dcterms:created xsi:type="dcterms:W3CDTF">2026-10-12T21:13:01Z</dcterms:created>
  <dcterms:modified xsi:type="dcterms:W3CDTF">2026-10-14T02:14:35Z</dcterms:modified>
</cp:coreProperties>
</file>